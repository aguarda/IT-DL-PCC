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g-n-\Dropbox\PhD\03_Papers\2022-09 TMM\"/>
    </mc:Choice>
  </mc:AlternateContent>
  <xr:revisionPtr revIDLastSave="0" documentId="13_ncr:1_{0D179442-C919-45F5-B4B7-010C901BDB30}" xr6:coauthVersionLast="47" xr6:coauthVersionMax="47" xr10:uidLastSave="{00000000-0000-0000-0000-000000000000}"/>
  <bookViews>
    <workbookView xWindow="-110" yWindow="-110" windowWidth="25180" windowHeight="16260" tabRatio="732" activeTab="2" xr2:uid="{C34E71CF-8811-4837-8E56-3C7014900157}"/>
  </bookViews>
  <sheets>
    <sheet name="TestData" sheetId="67" r:id="rId1"/>
    <sheet name="Configs" sheetId="68" r:id="rId2"/>
    <sheet name="FinalData" sheetId="69" r:id="rId3"/>
  </sheets>
  <functionGroups builtInGroupCount="19"/>
  <definedNames>
    <definedName name="Annibal" localSheetId="2">FinalData!$CZ$2:$DE$14</definedName>
    <definedName name="ArmChair" localSheetId="2">FinalData!$BJ$2:$BO$14</definedName>
    <definedName name="BoatJosefa" localSheetId="2">FinalData!$BP$2:$BU$14</definedName>
    <definedName name="BodyScanBlueShirt" localSheetId="2">FinalData!$AR$2:$AW$14</definedName>
    <definedName name="BodyScanOlia" localSheetId="2">FinalData!$CN$2:$CS$14</definedName>
    <definedName name="Bouquet" localSheetId="2">FinalData!$AF$2:$AK$14</definedName>
    <definedName name="Cabbage" localSheetId="2">FinalData!$AX$2:$BC$14</definedName>
    <definedName name="CapitolineWolf" localSheetId="2">FinalData!$BV$2:$CA$14</definedName>
    <definedName name="CatStatue" localSheetId="2">FinalData!$AL$2:$AQ$14</definedName>
    <definedName name="CowStatue" localSheetId="2">FinalData!$Z$2:$AE$14</definedName>
    <definedName name="DinoSkull" localSheetId="2">FinalData!$B$2:$G$14</definedName>
    <definedName name="goat_skull" localSheetId="2">FinalData!$DR$2:$DW$14</definedName>
    <definedName name="Iguana" localSheetId="2">FinalData!$DF$2:$DK$14</definedName>
    <definedName name="kinfubooks" localSheetId="2">FinalData!$ED$2:$EI$14</definedName>
    <definedName name="kinfudesk" localSheetId="2">FinalData!$DX$2:$EC$14</definedName>
    <definedName name="KingCrab" localSheetId="2">FinalData!$CB$2:$CG$14</definedName>
    <definedName name="Lakoon" localSheetId="2">FinalData!$H$2:$M$14</definedName>
    <definedName name="LivingRoom" localSheetId="2">FinalData!$EJ$2:$EO$14</definedName>
    <definedName name="PaintedEgg" localSheetId="2">FinalData!$CT$2:$CY$14</definedName>
    <definedName name="Pliers" localSheetId="2">FinalData!$DL$2:$DQ$14</definedName>
    <definedName name="RuaDeCoimbra" localSheetId="2">FinalData!$EP$2:$EU$14</definedName>
    <definedName name="SteamEngine" localSheetId="2">FinalData!$BD$2:$BI$14</definedName>
    <definedName name="StMichael" localSheetId="2">FinalData!$T$2:$Y$14</definedName>
    <definedName name="Van" localSheetId="2">FinalData!$N$2:$S$14</definedName>
    <definedName name="WoodenChest" localSheetId="2">FinalData!$CH$2:$CM$14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4" i="69" l="1"/>
  <c r="BL54" i="69"/>
  <c r="BM53" i="69"/>
  <c r="BL53" i="69"/>
  <c r="BM52" i="69"/>
  <c r="BL52" i="69"/>
  <c r="AZ54" i="69"/>
  <c r="AY54" i="69"/>
  <c r="AZ53" i="69"/>
  <c r="AY53" i="69"/>
  <c r="AZ52" i="69"/>
  <c r="AY52" i="69"/>
  <c r="AM54" i="69"/>
  <c r="AL54" i="69"/>
  <c r="AM53" i="69"/>
  <c r="AL53" i="69"/>
  <c r="AM52" i="69"/>
  <c r="AL52" i="69"/>
  <c r="AD52" i="69"/>
  <c r="AQ52" i="69" s="1"/>
  <c r="BD52" i="69" s="1"/>
  <c r="BQ52" i="69" s="1"/>
  <c r="DZ18" i="69" a="1"/>
  <c r="EA19" i="69" a="1"/>
  <c r="ER20" i="69" a="1"/>
  <c r="ER19" i="69" a="1"/>
  <c r="EI20" i="69" a="1"/>
  <c r="DU21" i="69" a="1"/>
  <c r="EL18" i="69" a="1"/>
  <c r="EL19" i="69" a="1"/>
  <c r="ET18" i="69" a="1"/>
  <c r="ER21" i="69" a="1"/>
  <c r="DW19" i="69" a="1"/>
  <c r="ET20" i="69" a="1"/>
  <c r="EG19" i="69" a="1"/>
  <c r="EM21" i="69" a="1"/>
  <c r="EI21" i="69" a="1"/>
  <c r="DZ19" i="69" a="1"/>
  <c r="EC18" i="69" a="1"/>
  <c r="EQ18" i="69" a="1"/>
  <c r="EE18" i="69" a="1"/>
  <c r="EN18" i="69" a="1"/>
  <c r="DY19" i="69" a="1"/>
  <c r="DT20" i="69" a="1"/>
  <c r="DZ21" i="69" a="1"/>
  <c r="EK18" i="69" a="1"/>
  <c r="EB18" i="69" a="1"/>
  <c r="EC21" i="69" a="1"/>
  <c r="EG21" i="69" a="1"/>
  <c r="EF18" i="69" a="1"/>
  <c r="EA18" i="69" a="1"/>
  <c r="EH18" i="69" a="1"/>
  <c r="DY18" i="69" a="1"/>
  <c r="EM20" i="69" a="1"/>
  <c r="DY20" i="69" a="1"/>
  <c r="EN21" i="69" a="1"/>
  <c r="EO20" i="69" a="1"/>
  <c r="EE19" i="69" a="1"/>
  <c r="EM18" i="69" a="1"/>
  <c r="EM19" i="69" a="1"/>
  <c r="EA20" i="69" a="1"/>
  <c r="ET21" i="69" a="1"/>
  <c r="EH19" i="69" a="1"/>
  <c r="EN19" i="69" a="1"/>
  <c r="ET19" i="69" a="1"/>
  <c r="EU21" i="69" a="1"/>
  <c r="DT18" i="69" a="1"/>
  <c r="EQ20" i="69" a="1"/>
  <c r="DW18" i="69" a="1"/>
  <c r="ES19" i="69" a="1"/>
  <c r="EQ19" i="69" a="1"/>
  <c r="EE20" i="69" a="1"/>
  <c r="DV21" i="69" a="1"/>
  <c r="ES21" i="69" a="1"/>
  <c r="EG20" i="69" a="1"/>
  <c r="EO21" i="69" a="1"/>
  <c r="EC20" i="69" a="1"/>
  <c r="EO19" i="69" a="1"/>
  <c r="EK19" i="69" a="1"/>
  <c r="EG18" i="69" a="1"/>
  <c r="DW21" i="69" a="1"/>
  <c r="EK20" i="69" a="1"/>
  <c r="EF20" i="69" a="1"/>
  <c r="DV20" i="69" a="1"/>
  <c r="EL21" i="69" a="1"/>
  <c r="EH20" i="69" a="1"/>
  <c r="DU19" i="69" a="1"/>
  <c r="DV18" i="69" a="1"/>
  <c r="EL20" i="69" a="1"/>
  <c r="EF21" i="69" a="1"/>
  <c r="DS18" i="69" a="1"/>
  <c r="DT21" i="69" a="1"/>
  <c r="EI19" i="69" a="1"/>
  <c r="EE21" i="69" a="1"/>
  <c r="DV19" i="69" a="1"/>
  <c r="EU20" i="69" a="1"/>
  <c r="EO18" i="69" a="1"/>
  <c r="EF19" i="69" a="1"/>
  <c r="EH21" i="69" a="1"/>
  <c r="EB21" i="69" a="1"/>
  <c r="EI18" i="69" a="1"/>
  <c r="EC19" i="69" a="1"/>
  <c r="EQ21" i="69" a="1"/>
  <c r="DS19" i="69" a="1"/>
  <c r="DS20" i="69" a="1"/>
  <c r="DW20" i="69" a="1"/>
  <c r="DT19" i="69" a="1"/>
  <c r="EU18" i="69" a="1"/>
  <c r="EB20" i="69" a="1"/>
  <c r="EB19" i="69" a="1"/>
  <c r="ES20" i="69" a="1"/>
  <c r="ER18" i="69" a="1"/>
  <c r="EA21" i="69" a="1"/>
  <c r="DU20" i="69" a="1"/>
  <c r="EK21" i="69" a="1"/>
  <c r="DZ20" i="69" a="1"/>
  <c r="DU18" i="69" a="1"/>
  <c r="EN20" i="69" a="1"/>
  <c r="DY21" i="69" a="1"/>
  <c r="EU19" i="69" a="1"/>
  <c r="ES18" i="69" a="1"/>
  <c r="DS21" i="69" a="1"/>
  <c r="DT18" i="69" l="1"/>
  <c r="N89" i="69" s="1"/>
  <c r="DT20" i="69"/>
  <c r="Y89" i="69" s="1"/>
  <c r="DT19" i="69"/>
  <c r="O89" i="69" s="1"/>
  <c r="DW18" i="69"/>
  <c r="T89" i="69" s="1"/>
  <c r="EE19" i="69"/>
  <c r="M91" i="69" s="1"/>
  <c r="DS21" i="69"/>
  <c r="X89" i="69" s="1"/>
  <c r="EG21" i="69"/>
  <c r="AB91" i="69" s="1"/>
  <c r="EK20" i="69"/>
  <c r="W92" i="69" s="1"/>
  <c r="DW19" i="69"/>
  <c r="U89" i="69" s="1"/>
  <c r="DU20" i="69"/>
  <c r="AA89" i="69" s="1"/>
  <c r="DW20" i="69"/>
  <c r="AE89" i="69" s="1"/>
  <c r="DW21" i="69"/>
  <c r="AF89" i="69" s="1"/>
  <c r="DY19" i="69"/>
  <c r="M90" i="69" s="1"/>
  <c r="EA21" i="69"/>
  <c r="AB90" i="69" s="1"/>
  <c r="EG18" i="69"/>
  <c r="P91" i="69" s="1"/>
  <c r="EL21" i="69"/>
  <c r="Z92" i="69" s="1"/>
  <c r="EK19" i="69"/>
  <c r="M92" i="69" s="1"/>
  <c r="EM21" i="69"/>
  <c r="AB92" i="69" s="1"/>
  <c r="EO20" i="69"/>
  <c r="AE92" i="69" s="1"/>
  <c r="ER21" i="69"/>
  <c r="Z93" i="69" s="1"/>
  <c r="EQ20" i="69"/>
  <c r="W93" i="69" s="1"/>
  <c r="EU21" i="69"/>
  <c r="AF93" i="69" s="1"/>
  <c r="ET18" i="69"/>
  <c r="R93" i="69" s="1"/>
  <c r="DS20" i="69"/>
  <c r="W89" i="69" s="1"/>
  <c r="EO19" i="69"/>
  <c r="U92" i="69" s="1"/>
  <c r="EN21" i="69"/>
  <c r="AD92" i="69" s="1"/>
  <c r="EN18" i="69"/>
  <c r="R92" i="69" s="1"/>
  <c r="ER18" i="69"/>
  <c r="N93" i="69" s="1"/>
  <c r="EU20" i="69"/>
  <c r="AE93" i="69" s="1"/>
  <c r="DY20" i="69"/>
  <c r="W90" i="69" s="1"/>
  <c r="EL19" i="69"/>
  <c r="O92" i="69" s="1"/>
  <c r="ES18" i="69"/>
  <c r="P93" i="69" s="1"/>
  <c r="DS19" i="69"/>
  <c r="M89" i="69" s="1"/>
  <c r="EC20" i="69"/>
  <c r="AE90" i="69" s="1"/>
  <c r="EC21" i="69"/>
  <c r="AF90" i="69" s="1"/>
  <c r="EL18" i="69"/>
  <c r="N92" i="69" s="1"/>
  <c r="ES20" i="69"/>
  <c r="AA93" i="69" s="1"/>
  <c r="EQ21" i="69"/>
  <c r="X93" i="69" s="1"/>
  <c r="DV20" i="69"/>
  <c r="AC89" i="69" s="1"/>
  <c r="EE18" i="69"/>
  <c r="L91" i="69" s="1"/>
  <c r="DU21" i="69"/>
  <c r="AB89" i="69" s="1"/>
  <c r="EG19" i="69"/>
  <c r="Q91" i="69" s="1"/>
  <c r="EU19" i="69"/>
  <c r="U93" i="69" s="1"/>
  <c r="DV19" i="69"/>
  <c r="S89" i="69" s="1"/>
  <c r="EB19" i="69"/>
  <c r="S90" i="69" s="1"/>
  <c r="EC19" i="69"/>
  <c r="U90" i="69" s="1"/>
  <c r="EB18" i="69"/>
  <c r="R90" i="69" s="1"/>
  <c r="EI20" i="69"/>
  <c r="AE91" i="69" s="1"/>
  <c r="EI18" i="69"/>
  <c r="T91" i="69" s="1"/>
  <c r="EF20" i="69"/>
  <c r="Y91" i="69" s="1"/>
  <c r="ET20" i="69"/>
  <c r="AC93" i="69" s="1"/>
  <c r="EB21" i="69"/>
  <c r="AD90" i="69" s="1"/>
  <c r="EO21" i="69"/>
  <c r="AF92" i="69" s="1"/>
  <c r="ET19" i="69"/>
  <c r="S93" i="69" s="1"/>
  <c r="ER19" i="69"/>
  <c r="O93" i="69" s="1"/>
  <c r="EB20" i="69"/>
  <c r="AC90" i="69" s="1"/>
  <c r="EH21" i="69"/>
  <c r="AD91" i="69" s="1"/>
  <c r="EE21" i="69"/>
  <c r="X91" i="69" s="1"/>
  <c r="EG20" i="69"/>
  <c r="AA91" i="69" s="1"/>
  <c r="EK18" i="69"/>
  <c r="L92" i="69" s="1"/>
  <c r="ES21" i="69"/>
  <c r="AB93" i="69" s="1"/>
  <c r="DY21" i="69"/>
  <c r="X90" i="69" s="1"/>
  <c r="EI19" i="69"/>
  <c r="U91" i="69" s="1"/>
  <c r="EN19" i="69"/>
  <c r="S92" i="69" s="1"/>
  <c r="EQ18" i="69"/>
  <c r="L93" i="69" s="1"/>
  <c r="ER20" i="69"/>
  <c r="Y93" i="69" s="1"/>
  <c r="EM20" i="69"/>
  <c r="AA92" i="69" s="1"/>
  <c r="EU18" i="69"/>
  <c r="T93" i="69" s="1"/>
  <c r="DT21" i="69"/>
  <c r="Z89" i="69" s="1"/>
  <c r="DV21" i="69"/>
  <c r="AD89" i="69" s="1"/>
  <c r="DY18" i="69"/>
  <c r="L90" i="69" s="1"/>
  <c r="EF19" i="69"/>
  <c r="O91" i="69" s="1"/>
  <c r="DS18" i="69"/>
  <c r="L89" i="69" s="1"/>
  <c r="EC18" i="69"/>
  <c r="T90" i="69" s="1"/>
  <c r="EF21" i="69"/>
  <c r="Z91" i="69" s="1"/>
  <c r="EE20" i="69"/>
  <c r="W91" i="69" s="1"/>
  <c r="EH19" i="69"/>
  <c r="S91" i="69" s="1"/>
  <c r="EH18" i="69"/>
  <c r="R91" i="69" s="1"/>
  <c r="EN20" i="69"/>
  <c r="AC92" i="69" s="1"/>
  <c r="EL20" i="69"/>
  <c r="Y92" i="69" s="1"/>
  <c r="EQ19" i="69"/>
  <c r="M93" i="69" s="1"/>
  <c r="ET21" i="69"/>
  <c r="AD93" i="69" s="1"/>
  <c r="DV18" i="69"/>
  <c r="R89" i="69" s="1"/>
  <c r="EA20" i="69"/>
  <c r="AA90" i="69" s="1"/>
  <c r="EA18" i="69"/>
  <c r="P90" i="69" s="1"/>
  <c r="EA19" i="69"/>
  <c r="Q90" i="69" s="1"/>
  <c r="EM19" i="69"/>
  <c r="Q92" i="69" s="1"/>
  <c r="DU18" i="69"/>
  <c r="P89" i="69" s="1"/>
  <c r="DU19" i="69"/>
  <c r="Q89" i="69" s="1"/>
  <c r="DZ21" i="69"/>
  <c r="Z90" i="69" s="1"/>
  <c r="DZ19" i="69"/>
  <c r="O90" i="69" s="1"/>
  <c r="DZ18" i="69"/>
  <c r="N90" i="69" s="1"/>
  <c r="DZ20" i="69"/>
  <c r="Y90" i="69" s="1"/>
  <c r="EH20" i="69"/>
  <c r="AC91" i="69" s="1"/>
  <c r="EF18" i="69"/>
  <c r="N91" i="69" s="1"/>
  <c r="EI21" i="69"/>
  <c r="AF91" i="69" s="1"/>
  <c r="EK21" i="69"/>
  <c r="X92" i="69" s="1"/>
  <c r="EO18" i="69"/>
  <c r="T92" i="69" s="1"/>
  <c r="EM18" i="69"/>
  <c r="P92" i="69" s="1"/>
  <c r="ES19" i="69"/>
  <c r="Q93" i="69" s="1"/>
  <c r="Z54" i="69"/>
  <c r="Y54" i="69"/>
  <c r="Z53" i="69"/>
  <c r="Y53" i="69"/>
  <c r="Z52" i="69"/>
  <c r="Y52" i="69"/>
  <c r="M54" i="69"/>
  <c r="L54" i="69"/>
  <c r="M53" i="69"/>
  <c r="L53" i="69"/>
  <c r="M52" i="69"/>
  <c r="L52" i="69"/>
  <c r="CG21" i="69" a="1"/>
  <c r="DE21" i="69" a="1"/>
  <c r="AB18" i="69" a="1"/>
  <c r="BG20" i="69" a="1"/>
  <c r="CJ19" i="69" a="1"/>
  <c r="BX19" i="69" a="1"/>
  <c r="DO20" i="69" a="1"/>
  <c r="CC20" i="69" a="1"/>
  <c r="AA20" i="69" a="1"/>
  <c r="BT19" i="69" a="1"/>
  <c r="CY19" i="69" a="1"/>
  <c r="DM18" i="69" a="1"/>
  <c r="BI20" i="69" a="1"/>
  <c r="BM19" i="69" a="1"/>
  <c r="AZ19" i="69" a="1"/>
  <c r="DP21" i="69" a="1"/>
  <c r="AO20" i="69" a="1"/>
  <c r="CG18" i="69" a="1"/>
  <c r="CK20" i="69" a="1"/>
  <c r="BM21" i="69" a="1"/>
  <c r="BY18" i="69" a="1"/>
  <c r="AG18" i="69" a="1"/>
  <c r="DH21" i="69" a="1"/>
  <c r="BZ19" i="69" a="1"/>
  <c r="R18" i="69" a="1"/>
  <c r="BC21" i="69" a="1"/>
  <c r="U19" i="69" a="1"/>
  <c r="AN20" i="69" a="1"/>
  <c r="C19" i="69" a="1"/>
  <c r="CQ19" i="69" a="1"/>
  <c r="CI19" i="69" a="1"/>
  <c r="BC19" i="69" a="1"/>
  <c r="R20" i="69" a="1"/>
  <c r="CY20" i="69" a="1"/>
  <c r="AV21" i="69" a="1"/>
  <c r="AJ21" i="69" a="1"/>
  <c r="CS20" i="69" a="1"/>
  <c r="CE20" i="69" a="1"/>
  <c r="M21" i="69" a="1"/>
  <c r="BL20" i="69" a="1"/>
  <c r="BS21" i="69" a="1"/>
  <c r="AK19" i="69" a="1"/>
  <c r="AV20" i="69" a="1"/>
  <c r="BF51" i="69" a="1"/>
  <c r="AD20" i="69" a="1"/>
  <c r="CO19" i="69" a="1"/>
  <c r="CV21" i="69" a="1"/>
  <c r="G18" i="69" a="1"/>
  <c r="AE20" i="69" a="1"/>
  <c r="BN21" i="69" a="1"/>
  <c r="BF20" i="69" a="1"/>
  <c r="M19" i="69" a="1"/>
  <c r="BU19" i="69" a="1"/>
  <c r="BE18" i="69" a="1"/>
  <c r="BB18" i="69" a="1"/>
  <c r="BS51" i="69" a="1"/>
  <c r="DO18" i="69" a="1"/>
  <c r="CI21" i="69" a="1"/>
  <c r="BK20" i="69" a="1"/>
  <c r="AC21" i="69" a="1"/>
  <c r="CM20" i="69" a="1"/>
  <c r="AY18" i="69" a="1"/>
  <c r="CE18" i="69" a="1"/>
  <c r="L18" i="69" a="1"/>
  <c r="CP21" i="69" a="1"/>
  <c r="CF18" i="69" a="1"/>
  <c r="S51" i="69" a="1"/>
  <c r="AY19" i="69" a="1"/>
  <c r="CR18" i="69" a="1"/>
  <c r="W19" i="69" a="1"/>
  <c r="W21" i="69" a="1"/>
  <c r="AG21" i="69" a="1"/>
  <c r="G21" i="69" a="1"/>
  <c r="DJ19" i="69" a="1"/>
  <c r="CX20" i="69" a="1"/>
  <c r="CA20" i="69" a="1"/>
  <c r="AJ19" i="69" a="1"/>
  <c r="AG19" i="69" a="1"/>
  <c r="DC21" i="69" a="1"/>
  <c r="AF52" i="69" a="1"/>
  <c r="DQ18" i="69" a="1"/>
  <c r="AU21" i="69" a="1"/>
  <c r="BW18" i="69" a="1"/>
  <c r="O21" i="69" a="1"/>
  <c r="AT19" i="69" a="1"/>
  <c r="DJ21" i="69" a="1"/>
  <c r="AY21" i="69" a="1"/>
  <c r="C18" i="69" a="1"/>
  <c r="K19" i="69" a="1"/>
  <c r="S18" i="69" a="1"/>
  <c r="AO19" i="69" a="1"/>
  <c r="CA19" i="69" a="1"/>
  <c r="DB20" i="69" a="1"/>
  <c r="AJ18" i="69" a="1"/>
  <c r="DM19" i="69" a="1"/>
  <c r="BU20" i="69" a="1"/>
  <c r="S20" i="69" a="1"/>
  <c r="AE19" i="69" a="1"/>
  <c r="BE21" i="69" a="1"/>
  <c r="AI20" i="69" a="1"/>
  <c r="CM18" i="69" a="1"/>
  <c r="CL18" i="69" a="1"/>
  <c r="U18" i="69" a="1"/>
  <c r="S19" i="69" a="1"/>
  <c r="CX21" i="69" a="1"/>
  <c r="CO21" i="69" a="1"/>
  <c r="F19" i="69" a="1"/>
  <c r="BL19" i="69" a="1"/>
  <c r="AP18" i="69" a="1"/>
  <c r="AN19" i="69" a="1"/>
  <c r="BB20" i="69" a="1"/>
  <c r="CS19" i="69" a="1"/>
  <c r="E19" i="69" a="1"/>
  <c r="DO21" i="69" a="1"/>
  <c r="BY21" i="69" a="1"/>
  <c r="K21" i="69" a="1"/>
  <c r="BR18" i="69" a="1"/>
  <c r="AD18" i="69" a="1"/>
  <c r="BK18" i="69" a="1"/>
  <c r="BW19" i="69" a="1"/>
  <c r="BI18" i="69" a="1"/>
  <c r="CU20" i="69" a="1"/>
  <c r="BA18" i="69" a="1"/>
  <c r="CL21" i="69" a="1"/>
  <c r="CP20" i="69" a="1"/>
  <c r="J18" i="69" a="1"/>
  <c r="BT21" i="69" a="1"/>
  <c r="Q18" i="69" a="1"/>
  <c r="J20" i="69" a="1"/>
  <c r="CV18" i="69" a="1"/>
  <c r="AD21" i="69" a="1"/>
  <c r="BT18" i="69" a="1"/>
  <c r="BS18" i="69" a="1"/>
  <c r="E18" i="69" a="1"/>
  <c r="AQ20" i="69" a="1"/>
  <c r="W18" i="69" a="1"/>
  <c r="BG19" i="69" a="1"/>
  <c r="AS21" i="69" a="1"/>
  <c r="U21" i="69" a="1"/>
  <c r="CX18" i="69" a="1"/>
  <c r="I21" i="69" a="1"/>
  <c r="CG20" i="69" a="1"/>
  <c r="P18" i="69" a="1"/>
  <c r="BF21" i="69" a="1"/>
  <c r="BN18" i="69" a="1"/>
  <c r="BM18" i="69" a="1"/>
  <c r="BS52" i="69" a="1"/>
  <c r="K20" i="69" a="1"/>
  <c r="J21" i="69" a="1"/>
  <c r="DO19" i="69" a="1"/>
  <c r="CQ18" i="69" a="1"/>
  <c r="CM19" i="69" a="1"/>
  <c r="BH21" i="69" a="1"/>
  <c r="BN19" i="69" a="1"/>
  <c r="DM21" i="69" a="1"/>
  <c r="DN18" i="69" a="1"/>
  <c r="AA18" i="69" a="1"/>
  <c r="BZ18" i="69" a="1"/>
  <c r="DA21" i="69" a="1"/>
  <c r="CA18" i="69" a="1"/>
  <c r="AI18" i="69" a="1"/>
  <c r="AS20" i="69" a="1"/>
  <c r="DG21" i="69" a="1"/>
  <c r="C20" i="69" a="1"/>
  <c r="AQ18" i="69" a="1"/>
  <c r="BG18" i="69" a="1"/>
  <c r="DA19" i="69" a="1"/>
  <c r="BI19" i="69" a="1"/>
  <c r="S52" i="69" a="1"/>
  <c r="O19" i="69" a="1"/>
  <c r="D18" i="69" a="1"/>
  <c r="AW19" i="69" a="1"/>
  <c r="Q19" i="69" a="1"/>
  <c r="CD21" i="69" a="1"/>
  <c r="AO18" i="69" a="1"/>
  <c r="AZ18" i="69" a="1"/>
  <c r="AM18" i="69" a="1"/>
  <c r="CI18" i="69" a="1"/>
  <c r="CV19" i="69" a="1"/>
  <c r="AZ21" i="69" a="1"/>
  <c r="J19" i="69" a="1"/>
  <c r="CX19" i="69" a="1"/>
  <c r="BW20" i="69" a="1"/>
  <c r="AP21" i="69" a="1"/>
  <c r="BW21" i="69" a="1"/>
  <c r="O18" i="69" a="1"/>
  <c r="DB21" i="69" a="1"/>
  <c r="AO21" i="69" a="1"/>
  <c r="DG19" i="69" a="1"/>
  <c r="CU21" i="69" a="1"/>
  <c r="AN21" i="69" a="1"/>
  <c r="DG20" i="69" a="1"/>
  <c r="AF51" i="69" a="1"/>
  <c r="BX18" i="69" a="1"/>
  <c r="AI19" i="69" a="1"/>
  <c r="CF20" i="69" a="1"/>
  <c r="DH19" i="69" a="1"/>
  <c r="DA20" i="69" a="1"/>
  <c r="BQ18" i="69" a="1"/>
  <c r="BK21" i="69" a="1"/>
  <c r="M20" i="69" a="1"/>
  <c r="CO20" i="69" a="1"/>
  <c r="L19" i="69" a="1"/>
  <c r="DP18" i="69" a="1"/>
  <c r="AC18" i="69" a="1"/>
  <c r="Q20" i="69" a="1"/>
  <c r="X19" i="69" a="1"/>
  <c r="BE20" i="69" a="1"/>
  <c r="Y19" i="69" a="1"/>
  <c r="DJ18" i="69" a="1"/>
  <c r="CL19" i="69" a="1"/>
  <c r="Y20" i="69" a="1"/>
  <c r="AB21" i="69" a="1"/>
  <c r="AW21" i="69" a="1"/>
  <c r="CP18" i="69" a="1"/>
  <c r="AS18" i="69" a="1"/>
  <c r="AH20" i="69" a="1"/>
  <c r="DH18" i="69" a="1"/>
  <c r="P20" i="69" a="1"/>
  <c r="CF19" i="69" a="1"/>
  <c r="CY18" i="69" a="1"/>
  <c r="DC18" i="69" a="1"/>
  <c r="G20" i="69" a="1"/>
  <c r="BO20" i="69" a="1"/>
  <c r="AM19" i="69" a="1"/>
  <c r="DB18" i="69" a="1"/>
  <c r="BF18" i="69" a="1"/>
  <c r="V19" i="69" a="1"/>
  <c r="AS51" i="69" a="1"/>
  <c r="CV20" i="69" a="1"/>
  <c r="DE18" i="69" a="1"/>
  <c r="AE18" i="69" a="1"/>
  <c r="BI21" i="69" a="1"/>
  <c r="AD19" i="69" a="1"/>
  <c r="BK19" i="69" a="1"/>
  <c r="DH20" i="69" a="1"/>
  <c r="DB19" i="69" a="1"/>
  <c r="DG18" i="69" a="1"/>
  <c r="DI18" i="69" a="1"/>
  <c r="CI20" i="69" a="1"/>
  <c r="BH19" i="69" a="1"/>
  <c r="DI21" i="69" a="1"/>
  <c r="AK18" i="69" a="1"/>
  <c r="AI21" i="69" a="1"/>
  <c r="CE21" i="69" a="1"/>
  <c r="CK21" i="69" a="1"/>
  <c r="DN20" i="69" a="1"/>
  <c r="CR19" i="69" a="1"/>
  <c r="P21" i="69" a="1"/>
  <c r="CO18" i="69" a="1"/>
  <c r="BR20" i="69" a="1"/>
  <c r="AS19" i="69" a="1"/>
  <c r="AA21" i="69" a="1"/>
  <c r="AC19" i="69" a="1"/>
  <c r="L20" i="69" a="1"/>
  <c r="AU18" i="69" a="1"/>
  <c r="BL18" i="69" a="1"/>
  <c r="DQ21" i="69" a="1"/>
  <c r="AT21" i="69" a="1"/>
  <c r="AP19" i="69" a="1"/>
  <c r="CD18" i="69" a="1"/>
  <c r="D19" i="69" a="1"/>
  <c r="CD20" i="69" a="1"/>
  <c r="CW18" i="69" a="1"/>
  <c r="CK19" i="69" a="1"/>
  <c r="CP19" i="69" a="1"/>
  <c r="BX20" i="69" a="1"/>
  <c r="DI20" i="69" a="1"/>
  <c r="BU21" i="69" a="1"/>
  <c r="Y21" i="69" a="1"/>
  <c r="G19" i="69" a="1"/>
  <c r="U20" i="69" a="1"/>
  <c r="BO18" i="69" a="1"/>
  <c r="DN21" i="69" a="1"/>
  <c r="CW20" i="69" a="1"/>
  <c r="CC19" i="69" a="1"/>
  <c r="BM20" i="69" a="1"/>
  <c r="R21" i="69" a="1"/>
  <c r="BY20" i="69" a="1"/>
  <c r="DK20" i="69" a="1"/>
  <c r="BE19" i="69" a="1"/>
  <c r="V21" i="69" a="1"/>
  <c r="AU20" i="69" a="1"/>
  <c r="BQ21" i="69" a="1"/>
  <c r="BR19" i="69" a="1"/>
  <c r="AG20" i="69" a="1"/>
  <c r="CY21" i="69" a="1"/>
  <c r="V20" i="69" a="1"/>
  <c r="AV18" i="69" a="1"/>
  <c r="I20" i="69" a="1"/>
  <c r="DM20" i="69" a="1"/>
  <c r="AZ20" i="69" a="1"/>
  <c r="E21" i="69" a="1"/>
  <c r="BF19" i="69" a="1"/>
  <c r="BN20" i="69" a="1"/>
  <c r="DQ19" i="69" a="1"/>
  <c r="M18" i="69" a="1"/>
  <c r="DD19" i="69" a="1"/>
  <c r="CD19" i="69" a="1"/>
  <c r="AW18" i="69" a="1"/>
  <c r="X18" i="69" a="1"/>
  <c r="BX21" i="69" a="1"/>
  <c r="AU19" i="69" a="1"/>
  <c r="DA18" i="69" a="1"/>
  <c r="DE19" i="69" a="1"/>
  <c r="V18" i="69" a="1"/>
  <c r="AK21" i="69" a="1"/>
  <c r="CE19" i="69" a="1"/>
  <c r="F18" i="69" a="1"/>
  <c r="BT20" i="69" a="1"/>
  <c r="D20" i="69" a="1"/>
  <c r="CS18" i="69" a="1"/>
  <c r="CG19" i="69" a="1"/>
  <c r="AB19" i="69" a="1"/>
  <c r="BR21" i="69" a="1"/>
  <c r="Q21" i="69" a="1"/>
  <c r="AQ21" i="69" a="1"/>
  <c r="AP20" i="69" a="1"/>
  <c r="CC21" i="69" a="1"/>
  <c r="DC20" i="69" a="1"/>
  <c r="AT20" i="69" a="1"/>
  <c r="BS19" i="69" a="1"/>
  <c r="CA21" i="69" a="1"/>
  <c r="D21" i="69" a="1"/>
  <c r="BQ20" i="69" a="1"/>
  <c r="K18" i="69" a="1"/>
  <c r="F21" i="69" a="1"/>
  <c r="BA21" i="69" a="1"/>
  <c r="AE21" i="69" a="1"/>
  <c r="BY19" i="69" a="1"/>
  <c r="BG21" i="69" a="1"/>
  <c r="DI19" i="69" a="1"/>
  <c r="CW19" i="69" a="1"/>
  <c r="CJ21" i="69" a="1"/>
  <c r="O20" i="69" a="1"/>
  <c r="BU18" i="69" a="1"/>
  <c r="BO19" i="69" a="1"/>
  <c r="DP19" i="69" a="1"/>
  <c r="AK20" i="69" a="1"/>
  <c r="AN18" i="69" a="1"/>
  <c r="DC19" i="69" a="1"/>
  <c r="X21" i="69" a="1"/>
  <c r="I19" i="69" a="1"/>
  <c r="DD20" i="69" a="1"/>
  <c r="CU19" i="69" a="1"/>
  <c r="BS20" i="69" a="1"/>
  <c r="E20" i="69" a="1"/>
  <c r="AB20" i="69" a="1"/>
  <c r="I18" i="69" a="1"/>
  <c r="DQ20" i="69" a="1"/>
  <c r="BC20" i="69" a="1"/>
  <c r="CS21" i="69" a="1"/>
  <c r="AH19" i="69" a="1"/>
  <c r="L21" i="69" a="1"/>
  <c r="DD21" i="69" a="1"/>
  <c r="CJ18" i="69" a="1"/>
  <c r="BH18" i="69" a="1"/>
  <c r="CL20" i="69" a="1"/>
  <c r="DK19" i="69" a="1"/>
  <c r="BQ19" i="69" a="1"/>
  <c r="AQ19" i="69" a="1"/>
  <c r="P19" i="69" a="1"/>
  <c r="C21" i="69" a="1"/>
  <c r="AH21" i="69" a="1"/>
  <c r="BC18" i="69" a="1"/>
  <c r="S21" i="69" a="1"/>
  <c r="AV19" i="69" a="1"/>
  <c r="AH18" i="69" a="1"/>
  <c r="AT18" i="69" a="1"/>
  <c r="CR20" i="69" a="1"/>
  <c r="DK18" i="69" a="1"/>
  <c r="CK18" i="69" a="1"/>
  <c r="DE20" i="69" a="1"/>
  <c r="W20" i="69" a="1"/>
  <c r="Y18" i="69" a="1"/>
  <c r="BA19" i="69" a="1"/>
  <c r="AM20" i="69" a="1"/>
  <c r="BB19" i="69" a="1"/>
  <c r="AA19" i="69" a="1"/>
  <c r="DP20" i="69" a="1"/>
  <c r="CR21" i="69" a="1"/>
  <c r="CC18" i="69" a="1"/>
  <c r="AY20" i="69" a="1"/>
  <c r="CW21" i="69" a="1"/>
  <c r="X20" i="69" a="1"/>
  <c r="BO21" i="69" a="1"/>
  <c r="AW20" i="69" a="1"/>
  <c r="BL21" i="69" a="1"/>
  <c r="BZ21" i="69" a="1"/>
  <c r="AS52" i="69" a="1"/>
  <c r="CU18" i="69" a="1"/>
  <c r="CQ20" i="69" a="1"/>
  <c r="BH20" i="69" a="1"/>
  <c r="F20" i="69" a="1"/>
  <c r="DN19" i="69" a="1"/>
  <c r="R19" i="69" a="1"/>
  <c r="BA20" i="69" a="1"/>
  <c r="DJ20" i="69" a="1"/>
  <c r="AM21" i="69" a="1"/>
  <c r="AC20" i="69" a="1"/>
  <c r="BF52" i="69" a="1"/>
  <c r="DD18" i="69" a="1"/>
  <c r="CQ21" i="69" a="1"/>
  <c r="CJ20" i="69" a="1"/>
  <c r="CM21" i="69" a="1"/>
  <c r="DK21" i="69" a="1"/>
  <c r="AJ20" i="69" a="1"/>
  <c r="CF21" i="69" a="1"/>
  <c r="BZ20" i="69" a="1"/>
  <c r="BB21" i="69" a="1"/>
  <c r="B31" i="69" a="1"/>
  <c r="X21" i="69" l="1"/>
  <c r="AD72" i="69" s="1"/>
  <c r="CC19" i="69"/>
  <c r="M82" i="69" s="1"/>
  <c r="AY21" i="69"/>
  <c r="X77" i="69" s="1"/>
  <c r="O18" i="69"/>
  <c r="L71" i="69" s="1"/>
  <c r="F20" i="69"/>
  <c r="AC69" i="69" s="1"/>
  <c r="W18" i="69"/>
  <c r="P72" i="69" s="1"/>
  <c r="AS51" i="69"/>
  <c r="AD21" i="69"/>
  <c r="AD73" i="69" s="1"/>
  <c r="M19" i="69"/>
  <c r="U70" i="69" s="1"/>
  <c r="DA18" i="69"/>
  <c r="L86" i="69" s="1"/>
  <c r="CQ18" i="69"/>
  <c r="P84" i="69" s="1"/>
  <c r="AN19" i="69"/>
  <c r="O75" i="69" s="1"/>
  <c r="R18" i="69"/>
  <c r="R71" i="69" s="1"/>
  <c r="AO18" i="69"/>
  <c r="P75" i="69" s="1"/>
  <c r="CD21" i="69"/>
  <c r="Z82" i="69" s="1"/>
  <c r="AV18" i="69"/>
  <c r="R76" i="69" s="1"/>
  <c r="AS20" i="69"/>
  <c r="W76" i="69" s="1"/>
  <c r="CK18" i="69"/>
  <c r="P83" i="69" s="1"/>
  <c r="DD21" i="69"/>
  <c r="AD86" i="69" s="1"/>
  <c r="CU18" i="69"/>
  <c r="L85" i="69" s="1"/>
  <c r="AA20" i="69"/>
  <c r="W73" i="69" s="1"/>
  <c r="S18" i="69"/>
  <c r="T71" i="69" s="1"/>
  <c r="DG18" i="69"/>
  <c r="L87" i="69" s="1"/>
  <c r="AQ20" i="69"/>
  <c r="AE75" i="69" s="1"/>
  <c r="BU19" i="69"/>
  <c r="U80" i="69" s="1"/>
  <c r="K20" i="69"/>
  <c r="AA70" i="69" s="1"/>
  <c r="BX18" i="69"/>
  <c r="N81" i="69" s="1"/>
  <c r="BE21" i="69"/>
  <c r="X78" i="69" s="1"/>
  <c r="BO21" i="69"/>
  <c r="AF79" i="69" s="1"/>
  <c r="X20" i="69"/>
  <c r="AC72" i="69" s="1"/>
  <c r="CF21" i="69"/>
  <c r="AD82" i="69" s="1"/>
  <c r="AP21" i="69"/>
  <c r="AD75" i="69" s="1"/>
  <c r="R19" i="69"/>
  <c r="S71" i="69" s="1"/>
  <c r="Q20" i="69"/>
  <c r="AA71" i="69" s="1"/>
  <c r="DO21" i="69"/>
  <c r="AB88" i="69" s="1"/>
  <c r="BX21" i="69"/>
  <c r="Z81" i="69" s="1"/>
  <c r="M18" i="69"/>
  <c r="T70" i="69" s="1"/>
  <c r="BC18" i="69"/>
  <c r="T77" i="69" s="1"/>
  <c r="CU20" i="69"/>
  <c r="W85" i="69" s="1"/>
  <c r="BL20" i="69"/>
  <c r="Y79" i="69" s="1"/>
  <c r="DE21" i="69"/>
  <c r="AF86" i="69" s="1"/>
  <c r="BU21" i="69"/>
  <c r="AF80" i="69" s="1"/>
  <c r="CJ19" i="69"/>
  <c r="O83" i="69" s="1"/>
  <c r="DM21" i="69"/>
  <c r="X88" i="69" s="1"/>
  <c r="AH18" i="69"/>
  <c r="N74" i="69" s="1"/>
  <c r="BA21" i="69"/>
  <c r="AB77" i="69" s="1"/>
  <c r="P21" i="69"/>
  <c r="Z71" i="69" s="1"/>
  <c r="CW20" i="69"/>
  <c r="AA85" i="69" s="1"/>
  <c r="CY18" i="69"/>
  <c r="T85" i="69" s="1"/>
  <c r="CA20" i="69"/>
  <c r="AE81" i="69" s="1"/>
  <c r="BH18" i="69"/>
  <c r="R78" i="69" s="1"/>
  <c r="AU21" i="69"/>
  <c r="AB76" i="69" s="1"/>
  <c r="BT19" i="69"/>
  <c r="S80" i="69" s="1"/>
  <c r="R20" i="69"/>
  <c r="AC71" i="69" s="1"/>
  <c r="CG19" i="69"/>
  <c r="U82" i="69" s="1"/>
  <c r="BB20" i="69"/>
  <c r="AC77" i="69" s="1"/>
  <c r="CI21" i="69"/>
  <c r="X83" i="69" s="1"/>
  <c r="L20" i="69"/>
  <c r="AC70" i="69" s="1"/>
  <c r="DG21" i="69"/>
  <c r="X87" i="69" s="1"/>
  <c r="F18" i="69"/>
  <c r="R69" i="69" s="1"/>
  <c r="AI21" i="69"/>
  <c r="AB74" i="69" s="1"/>
  <c r="K21" i="69"/>
  <c r="AB70" i="69" s="1"/>
  <c r="CR21" i="69"/>
  <c r="AD84" i="69" s="1"/>
  <c r="BS52" i="69"/>
  <c r="BN18" i="69"/>
  <c r="R79" i="69" s="1"/>
  <c r="BQ18" i="69"/>
  <c r="L80" i="69" s="1"/>
  <c r="DH19" i="69"/>
  <c r="O87" i="69" s="1"/>
  <c r="AJ21" i="69"/>
  <c r="AD74" i="69" s="1"/>
  <c r="CC21" i="69"/>
  <c r="X82" i="69" s="1"/>
  <c r="CY20" i="69"/>
  <c r="AE85" i="69" s="1"/>
  <c r="AK19" i="69"/>
  <c r="U74" i="69" s="1"/>
  <c r="CD18" i="69"/>
  <c r="N82" i="69" s="1"/>
  <c r="Q18" i="69"/>
  <c r="P71" i="69" s="1"/>
  <c r="BE18" i="69"/>
  <c r="L78" i="69" s="1"/>
  <c r="AB21" i="69"/>
  <c r="Z73" i="69" s="1"/>
  <c r="J20" i="69"/>
  <c r="Y70" i="69" s="1"/>
  <c r="CF18" i="69"/>
  <c r="R82" i="69" s="1"/>
  <c r="AZ20" i="69"/>
  <c r="Y77" i="69" s="1"/>
  <c r="CG20" i="69"/>
  <c r="AE82" i="69" s="1"/>
  <c r="AP19" i="69"/>
  <c r="S75" i="69" s="1"/>
  <c r="BM20" i="69"/>
  <c r="AA79" i="69" s="1"/>
  <c r="U21" i="69"/>
  <c r="X72" i="69" s="1"/>
  <c r="BW19" i="69"/>
  <c r="M81" i="69" s="1"/>
  <c r="AP18" i="69"/>
  <c r="R75" i="69" s="1"/>
  <c r="F21" i="69"/>
  <c r="AD69" i="69" s="1"/>
  <c r="CK19" i="69"/>
  <c r="Q83" i="69" s="1"/>
  <c r="AW21" i="69"/>
  <c r="AF76" i="69" s="1"/>
  <c r="DP19" i="69"/>
  <c r="S88" i="69" s="1"/>
  <c r="AY18" i="69"/>
  <c r="L77" i="69" s="1"/>
  <c r="CU19" i="69"/>
  <c r="M85" i="69" s="1"/>
  <c r="AK20" i="69"/>
  <c r="AE74" i="69" s="1"/>
  <c r="CR18" i="69"/>
  <c r="R84" i="69" s="1"/>
  <c r="AV20" i="69"/>
  <c r="AC76" i="69" s="1"/>
  <c r="AU20" i="69"/>
  <c r="AA76" i="69" s="1"/>
  <c r="Y18" i="69"/>
  <c r="T72" i="69" s="1"/>
  <c r="DK20" i="69"/>
  <c r="AE87" i="69" s="1"/>
  <c r="DM19" i="69"/>
  <c r="M88" i="69" s="1"/>
  <c r="CL19" i="69"/>
  <c r="S83" i="69" s="1"/>
  <c r="DC19" i="69"/>
  <c r="Q86" i="69" s="1"/>
  <c r="DI20" i="69"/>
  <c r="AA87" i="69" s="1"/>
  <c r="CX20" i="69"/>
  <c r="AC85" i="69" s="1"/>
  <c r="CW18" i="69"/>
  <c r="P85" i="69" s="1"/>
  <c r="G20" i="69"/>
  <c r="AE69" i="69" s="1"/>
  <c r="AN20" i="69"/>
  <c r="Y75" i="69" s="1"/>
  <c r="O21" i="69"/>
  <c r="X71" i="69" s="1"/>
  <c r="CI18" i="69"/>
  <c r="L83" i="69" s="1"/>
  <c r="BY20" i="69"/>
  <c r="AA81" i="69" s="1"/>
  <c r="DQ20" i="69"/>
  <c r="AE88" i="69" s="1"/>
  <c r="BG21" i="69"/>
  <c r="AB78" i="69" s="1"/>
  <c r="S21" i="69"/>
  <c r="AF71" i="69" s="1"/>
  <c r="AB19" i="69"/>
  <c r="O73" i="69" s="1"/>
  <c r="AS21" i="69"/>
  <c r="X76" i="69" s="1"/>
  <c r="BO20" i="69"/>
  <c r="AE79" i="69" s="1"/>
  <c r="BF18" i="69"/>
  <c r="N78" i="69" s="1"/>
  <c r="DN18" i="69"/>
  <c r="N88" i="69" s="1"/>
  <c r="E21" i="69"/>
  <c r="AB69" i="69" s="1"/>
  <c r="CM18" i="69"/>
  <c r="T83" i="69" s="1"/>
  <c r="BR19" i="69"/>
  <c r="O80" i="69" s="1"/>
  <c r="BN21" i="69"/>
  <c r="AD79" i="69" s="1"/>
  <c r="D21" i="69"/>
  <c r="Z69" i="69" s="1"/>
  <c r="DC18" i="69"/>
  <c r="P86" i="69" s="1"/>
  <c r="L18" i="69"/>
  <c r="R70" i="69" s="1"/>
  <c r="AH19" i="69"/>
  <c r="O74" i="69" s="1"/>
  <c r="DA21" i="69"/>
  <c r="X86" i="69" s="1"/>
  <c r="AC20" i="69"/>
  <c r="AA73" i="69" s="1"/>
  <c r="BS21" i="69"/>
  <c r="AB80" i="69" s="1"/>
  <c r="E20" i="69"/>
  <c r="AA69" i="69" s="1"/>
  <c r="DI21" i="69"/>
  <c r="AB87" i="69" s="1"/>
  <c r="BE20" i="69"/>
  <c r="W78" i="69" s="1"/>
  <c r="Y19" i="69"/>
  <c r="U72" i="69" s="1"/>
  <c r="AD19" i="69"/>
  <c r="S73" i="69" s="1"/>
  <c r="AV19" i="69"/>
  <c r="S76" i="69" s="1"/>
  <c r="CX21" i="69"/>
  <c r="AD85" i="69" s="1"/>
  <c r="J18" i="69"/>
  <c r="N70" i="69" s="1"/>
  <c r="BA19" i="69"/>
  <c r="Q77" i="69" s="1"/>
  <c r="DK21" i="69"/>
  <c r="AF87" i="69" s="1"/>
  <c r="DP18" i="69"/>
  <c r="R88" i="69" s="1"/>
  <c r="DN21" i="69"/>
  <c r="Z88" i="69" s="1"/>
  <c r="W21" i="69"/>
  <c r="AB72" i="69" s="1"/>
  <c r="AT21" i="69"/>
  <c r="Z76" i="69" s="1"/>
  <c r="CX18" i="69"/>
  <c r="R85" i="69" s="1"/>
  <c r="DA19" i="69"/>
  <c r="M86" i="69" s="1"/>
  <c r="CM21" i="69"/>
  <c r="AF83" i="69" s="1"/>
  <c r="G19" i="69"/>
  <c r="U69" i="69" s="1"/>
  <c r="AD20" i="69"/>
  <c r="AC73" i="69" s="1"/>
  <c r="AT20" i="69"/>
  <c r="Y76" i="69" s="1"/>
  <c r="CE21" i="69"/>
  <c r="AB82" i="69" s="1"/>
  <c r="CO18" i="69"/>
  <c r="L84" i="69" s="1"/>
  <c r="AA19" i="69"/>
  <c r="M73" i="69" s="1"/>
  <c r="CL18" i="69"/>
  <c r="R83" i="69" s="1"/>
  <c r="AW18" i="69"/>
  <c r="T76" i="69" s="1"/>
  <c r="I18" i="69"/>
  <c r="L70" i="69" s="1"/>
  <c r="BB21" i="69"/>
  <c r="AD77" i="69" s="1"/>
  <c r="U20" i="69"/>
  <c r="W72" i="69" s="1"/>
  <c r="M20" i="69"/>
  <c r="AE70" i="69" s="1"/>
  <c r="BF20" i="69"/>
  <c r="Y78" i="69" s="1"/>
  <c r="BM19" i="69"/>
  <c r="Q79" i="69" s="1"/>
  <c r="BI19" i="69"/>
  <c r="U78" i="69" s="1"/>
  <c r="BB19" i="69"/>
  <c r="S77" i="69" s="1"/>
  <c r="CK21" i="69"/>
  <c r="AB83" i="69" s="1"/>
  <c r="DH18" i="69"/>
  <c r="N87" i="69" s="1"/>
  <c r="BH20" i="69"/>
  <c r="AC78" i="69" s="1"/>
  <c r="DP20" i="69"/>
  <c r="AC88" i="69" s="1"/>
  <c r="AI20" i="69"/>
  <c r="AA74" i="69" s="1"/>
  <c r="AE21" i="69"/>
  <c r="AF73" i="69" s="1"/>
  <c r="DG20" i="69"/>
  <c r="W87" i="69" s="1"/>
  <c r="M21" i="69"/>
  <c r="AF70" i="69" s="1"/>
  <c r="CE20" i="69"/>
  <c r="AA82" i="69" s="1"/>
  <c r="AC21" i="69"/>
  <c r="AB73" i="69" s="1"/>
  <c r="CS21" i="69"/>
  <c r="AF84" i="69" s="1"/>
  <c r="BC21" i="69"/>
  <c r="AF77" i="69" s="1"/>
  <c r="CW19" i="69"/>
  <c r="Q85" i="69" s="1"/>
  <c r="D18" i="69"/>
  <c r="N69" i="69" s="1"/>
  <c r="BN20" i="69"/>
  <c r="AC79" i="69" s="1"/>
  <c r="BS51" i="69"/>
  <c r="AY20" i="69"/>
  <c r="W77" i="69" s="1"/>
  <c r="AK21" i="69"/>
  <c r="AF74" i="69" s="1"/>
  <c r="BL18" i="69"/>
  <c r="N79" i="69" s="1"/>
  <c r="DM20" i="69"/>
  <c r="W88" i="69" s="1"/>
  <c r="BI20" i="69"/>
  <c r="AE78" i="69" s="1"/>
  <c r="BG20" i="69"/>
  <c r="AA78" i="69" s="1"/>
  <c r="BF52" i="69"/>
  <c r="BS18" i="69"/>
  <c r="P80" i="69" s="1"/>
  <c r="BE19" i="69"/>
  <c r="M78" i="69" s="1"/>
  <c r="AV21" i="69"/>
  <c r="AD76" i="69" s="1"/>
  <c r="AM19" i="69"/>
  <c r="M75" i="69" s="1"/>
  <c r="CW21" i="69"/>
  <c r="AB85" i="69" s="1"/>
  <c r="DE19" i="69"/>
  <c r="U86" i="69" s="1"/>
  <c r="Q19" i="69"/>
  <c r="Q71" i="69" s="1"/>
  <c r="BF51" i="69"/>
  <c r="CL21" i="69"/>
  <c r="AD83" i="69" s="1"/>
  <c r="S19" i="69"/>
  <c r="U71" i="69" s="1"/>
  <c r="BR20" i="69"/>
  <c r="Y80" i="69" s="1"/>
  <c r="DM18" i="69"/>
  <c r="L88" i="69" s="1"/>
  <c r="AM18" i="69"/>
  <c r="L75" i="69" s="1"/>
  <c r="AE18" i="69"/>
  <c r="T73" i="69" s="1"/>
  <c r="BF19" i="69"/>
  <c r="O78" i="69" s="1"/>
  <c r="AH21" i="69"/>
  <c r="Z74" i="69" s="1"/>
  <c r="AT18" i="69"/>
  <c r="N76" i="69" s="1"/>
  <c r="DB21" i="69"/>
  <c r="Z86" i="69" s="1"/>
  <c r="AG19" i="69"/>
  <c r="M74" i="69" s="1"/>
  <c r="CO21" i="69"/>
  <c r="X84" i="69" s="1"/>
  <c r="DJ18" i="69"/>
  <c r="R87" i="69" s="1"/>
  <c r="DD18" i="69"/>
  <c r="R86" i="69" s="1"/>
  <c r="CJ20" i="69"/>
  <c r="Y83" i="69" s="1"/>
  <c r="DK18" i="69"/>
  <c r="T87" i="69" s="1"/>
  <c r="BL19" i="69"/>
  <c r="O79" i="69" s="1"/>
  <c r="AI18" i="69"/>
  <c r="P74" i="69" s="1"/>
  <c r="BT18" i="69"/>
  <c r="R80" i="69" s="1"/>
  <c r="CI20" i="69"/>
  <c r="W83" i="69" s="1"/>
  <c r="AO20" i="69"/>
  <c r="AA75" i="69" s="1"/>
  <c r="DJ19" i="69"/>
  <c r="S87" i="69" s="1"/>
  <c r="X18" i="69"/>
  <c r="R72" i="69" s="1"/>
  <c r="BG18" i="69"/>
  <c r="P78" i="69" s="1"/>
  <c r="BQ20" i="69"/>
  <c r="W80" i="69" s="1"/>
  <c r="DJ20" i="69"/>
  <c r="AC87" i="69" s="1"/>
  <c r="Q21" i="69"/>
  <c r="AB71" i="69" s="1"/>
  <c r="F19" i="69"/>
  <c r="S69" i="69" s="1"/>
  <c r="BY18" i="69"/>
  <c r="P81" i="69" s="1"/>
  <c r="BI21" i="69"/>
  <c r="AF78" i="69" s="1"/>
  <c r="AY19" i="69"/>
  <c r="M77" i="69" s="1"/>
  <c r="AJ20" i="69"/>
  <c r="AC74" i="69" s="1"/>
  <c r="BA18" i="69"/>
  <c r="P77" i="69" s="1"/>
  <c r="AZ19" i="69"/>
  <c r="O77" i="69" s="1"/>
  <c r="BX19" i="69"/>
  <c r="O81" i="69" s="1"/>
  <c r="AA21" i="69"/>
  <c r="X73" i="69" s="1"/>
  <c r="AE20" i="69"/>
  <c r="AE73" i="69" s="1"/>
  <c r="BR21" i="69"/>
  <c r="Z80" i="69" s="1"/>
  <c r="DH21" i="69"/>
  <c r="Z87" i="69" s="1"/>
  <c r="S20" i="69"/>
  <c r="AE71" i="69" s="1"/>
  <c r="AI19" i="69"/>
  <c r="Q74" i="69" s="1"/>
  <c r="DB18" i="69"/>
  <c r="N86" i="69" s="1"/>
  <c r="DP21" i="69"/>
  <c r="AD88" i="69" s="1"/>
  <c r="W19" i="69"/>
  <c r="Q72" i="69" s="1"/>
  <c r="AC19" i="69"/>
  <c r="Q73" i="69" s="1"/>
  <c r="AS18" i="69"/>
  <c r="L76" i="69" s="1"/>
  <c r="AK18" i="69"/>
  <c r="T74" i="69" s="1"/>
  <c r="DI18" i="69"/>
  <c r="P87" i="69" s="1"/>
  <c r="Y21" i="69"/>
  <c r="AF72" i="69" s="1"/>
  <c r="BZ20" i="69"/>
  <c r="AC81" i="69" s="1"/>
  <c r="D19" i="69"/>
  <c r="O69" i="69" s="1"/>
  <c r="CQ19" i="69"/>
  <c r="Q84" i="69" s="1"/>
  <c r="BZ18" i="69"/>
  <c r="R81" i="69" s="1"/>
  <c r="CA19" i="69"/>
  <c r="U81" i="69" s="1"/>
  <c r="W20" i="69"/>
  <c r="AA72" i="69" s="1"/>
  <c r="P18" i="69"/>
  <c r="N71" i="69" s="1"/>
  <c r="BL21" i="69"/>
  <c r="Z79" i="69" s="1"/>
  <c r="Y20" i="69"/>
  <c r="AE72" i="69" s="1"/>
  <c r="DN19" i="69"/>
  <c r="O88" i="69" s="1"/>
  <c r="DB20" i="69"/>
  <c r="Y86" i="69" s="1"/>
  <c r="AZ21" i="69"/>
  <c r="Z77" i="69" s="1"/>
  <c r="CP18" i="69"/>
  <c r="N84" i="69" s="1"/>
  <c r="BZ21" i="69"/>
  <c r="AD81" i="69" s="1"/>
  <c r="AJ18" i="69"/>
  <c r="R74" i="69" s="1"/>
  <c r="BO18" i="69"/>
  <c r="T79" i="69" s="1"/>
  <c r="CP19" i="69"/>
  <c r="O84" i="69" s="1"/>
  <c r="AH20" i="69"/>
  <c r="Y74" i="69" s="1"/>
  <c r="E18" i="69"/>
  <c r="P69" i="69" s="1"/>
  <c r="CX19" i="69"/>
  <c r="S85" i="69" s="1"/>
  <c r="CG18" i="69"/>
  <c r="T82" i="69" s="1"/>
  <c r="CJ18" i="69"/>
  <c r="N83" i="69" s="1"/>
  <c r="DD20" i="69"/>
  <c r="AC86" i="69" s="1"/>
  <c r="I21" i="69"/>
  <c r="X70" i="69" s="1"/>
  <c r="BT20" i="69"/>
  <c r="AC80" i="69" s="1"/>
  <c r="CM19" i="69"/>
  <c r="U83" i="69" s="1"/>
  <c r="CL20" i="69"/>
  <c r="AC83" i="69" s="1"/>
  <c r="DC21" i="69"/>
  <c r="AB86" i="69" s="1"/>
  <c r="U18" i="69"/>
  <c r="L72" i="69" s="1"/>
  <c r="O19" i="69"/>
  <c r="M71" i="69" s="1"/>
  <c r="V18" i="69"/>
  <c r="N72" i="69" s="1"/>
  <c r="CR20" i="69"/>
  <c r="AC84" i="69" s="1"/>
  <c r="AE19" i="69"/>
  <c r="U73" i="69" s="1"/>
  <c r="CI19" i="69"/>
  <c r="M83" i="69" s="1"/>
  <c r="CU21" i="69"/>
  <c r="X85" i="69" s="1"/>
  <c r="O20" i="69"/>
  <c r="W71" i="69" s="1"/>
  <c r="BC19" i="69"/>
  <c r="U77" i="69" s="1"/>
  <c r="CS18" i="69"/>
  <c r="T84" i="69" s="1"/>
  <c r="CV21" i="69"/>
  <c r="Z85" i="69" s="1"/>
  <c r="AC18" i="69"/>
  <c r="P73" i="69" s="1"/>
  <c r="CV20" i="69"/>
  <c r="Y85" i="69" s="1"/>
  <c r="DA20" i="69"/>
  <c r="W86" i="69" s="1"/>
  <c r="CM20" i="69"/>
  <c r="AE83" i="69" s="1"/>
  <c r="L19" i="69"/>
  <c r="S70" i="69" s="1"/>
  <c r="CY21" i="69"/>
  <c r="AF85" i="69" s="1"/>
  <c r="G18" i="69"/>
  <c r="T69" i="69" s="1"/>
  <c r="AP20" i="69"/>
  <c r="AC75" i="69" s="1"/>
  <c r="BX20" i="69"/>
  <c r="Y81" i="69" s="1"/>
  <c r="BN19" i="69"/>
  <c r="S79" i="69" s="1"/>
  <c r="BK21" i="69"/>
  <c r="X79" i="69" s="1"/>
  <c r="BT21" i="69"/>
  <c r="AD80" i="69" s="1"/>
  <c r="DO20" i="69"/>
  <c r="AA88" i="69" s="1"/>
  <c r="BW18" i="69"/>
  <c r="L81" i="69" s="1"/>
  <c r="DN20" i="69"/>
  <c r="Y88" i="69" s="1"/>
  <c r="CK20" i="69"/>
  <c r="AA83" i="69" s="1"/>
  <c r="AO19" i="69"/>
  <c r="Q75" i="69" s="1"/>
  <c r="AT19" i="69"/>
  <c r="O76" i="69" s="1"/>
  <c r="AO21" i="69"/>
  <c r="AB75" i="69" s="1"/>
  <c r="CC20" i="69"/>
  <c r="W82" i="69" s="1"/>
  <c r="BQ21" i="69"/>
  <c r="X80" i="69" s="1"/>
  <c r="AN21" i="69"/>
  <c r="Z75" i="69" s="1"/>
  <c r="CD19" i="69"/>
  <c r="O82" i="69" s="1"/>
  <c r="CV19" i="69"/>
  <c r="O85" i="69" s="1"/>
  <c r="CY19" i="69"/>
  <c r="U85" i="69" s="1"/>
  <c r="BH19" i="69"/>
  <c r="S78" i="69" s="1"/>
  <c r="V19" i="69"/>
  <c r="O72" i="69" s="1"/>
  <c r="DQ19" i="69"/>
  <c r="U88" i="69" s="1"/>
  <c r="J21" i="69"/>
  <c r="Z70" i="69" s="1"/>
  <c r="BM21" i="69"/>
  <c r="AB79" i="69" s="1"/>
  <c r="CO20" i="69"/>
  <c r="W84" i="69" s="1"/>
  <c r="CA18" i="69"/>
  <c r="T81" i="69" s="1"/>
  <c r="P20" i="69"/>
  <c r="Y71" i="69" s="1"/>
  <c r="U19" i="69"/>
  <c r="M72" i="69" s="1"/>
  <c r="AU18" i="69"/>
  <c r="P76" i="69" s="1"/>
  <c r="CO19" i="69"/>
  <c r="M84" i="69" s="1"/>
  <c r="CS19" i="69"/>
  <c r="U84" i="69" s="1"/>
  <c r="AN18" i="69"/>
  <c r="N75" i="69" s="1"/>
  <c r="AJ19" i="69"/>
  <c r="S74" i="69" s="1"/>
  <c r="J19" i="69"/>
  <c r="O70" i="69" s="1"/>
  <c r="CQ20" i="69"/>
  <c r="AA84" i="69" s="1"/>
  <c r="BM18" i="69"/>
  <c r="P79" i="69" s="1"/>
  <c r="DD19" i="69"/>
  <c r="S86" i="69" s="1"/>
  <c r="BR18" i="69"/>
  <c r="N80" i="69" s="1"/>
  <c r="CE18" i="69"/>
  <c r="P82" i="69" s="1"/>
  <c r="BZ19" i="69"/>
  <c r="S81" i="69" s="1"/>
  <c r="BQ19" i="69"/>
  <c r="M80" i="69" s="1"/>
  <c r="DQ18" i="69"/>
  <c r="T88" i="69" s="1"/>
  <c r="AM21" i="69"/>
  <c r="X75" i="69" s="1"/>
  <c r="DO18" i="69"/>
  <c r="P88" i="69" s="1"/>
  <c r="CA21" i="69"/>
  <c r="AF81" i="69" s="1"/>
  <c r="K19" i="69"/>
  <c r="Q70" i="69" s="1"/>
  <c r="DG19" i="69"/>
  <c r="M87" i="69" s="1"/>
  <c r="CC18" i="69"/>
  <c r="L82" i="69" s="1"/>
  <c r="CV18" i="69"/>
  <c r="N85" i="69" s="1"/>
  <c r="BC20" i="69"/>
  <c r="AE77" i="69" s="1"/>
  <c r="BA20" i="69"/>
  <c r="AA77" i="69" s="1"/>
  <c r="AG18" i="69"/>
  <c r="L74" i="69" s="1"/>
  <c r="AS19" i="69"/>
  <c r="M76" i="69" s="1"/>
  <c r="CP20" i="69"/>
  <c r="Y84" i="69" s="1"/>
  <c r="L21" i="69"/>
  <c r="AD70" i="69" s="1"/>
  <c r="E19" i="69"/>
  <c r="Q69" i="69" s="1"/>
  <c r="BS19" i="69"/>
  <c r="Q80" i="69" s="1"/>
  <c r="DC20" i="69"/>
  <c r="AA86" i="69" s="1"/>
  <c r="AB18" i="69"/>
  <c r="N73" i="69" s="1"/>
  <c r="DJ21" i="69"/>
  <c r="AD87" i="69" s="1"/>
  <c r="AQ21" i="69"/>
  <c r="AF75" i="69" s="1"/>
  <c r="AW19" i="69"/>
  <c r="U76" i="69" s="1"/>
  <c r="DB19" i="69"/>
  <c r="O86" i="69" s="1"/>
  <c r="DE20" i="69"/>
  <c r="AE86" i="69" s="1"/>
  <c r="I19" i="69"/>
  <c r="M70" i="69" s="1"/>
  <c r="CG21" i="69"/>
  <c r="AF82" i="69" s="1"/>
  <c r="BS20" i="69"/>
  <c r="AA80" i="69" s="1"/>
  <c r="DK19" i="69"/>
  <c r="U87" i="69" s="1"/>
  <c r="CP21" i="69"/>
  <c r="Z84" i="69" s="1"/>
  <c r="K18" i="69"/>
  <c r="P70" i="69" s="1"/>
  <c r="CE19" i="69"/>
  <c r="Q82" i="69" s="1"/>
  <c r="AZ18" i="69"/>
  <c r="N77" i="69" s="1"/>
  <c r="DH20" i="69"/>
  <c r="Y87" i="69" s="1"/>
  <c r="D20" i="69"/>
  <c r="Y69" i="69" s="1"/>
  <c r="AG21" i="69"/>
  <c r="X74" i="69" s="1"/>
  <c r="AS52" i="69"/>
  <c r="P19" i="69"/>
  <c r="O71" i="69" s="1"/>
  <c r="BY19" i="69"/>
  <c r="Q81" i="69" s="1"/>
  <c r="BK19" i="69"/>
  <c r="M79" i="69" s="1"/>
  <c r="AG20" i="69"/>
  <c r="W74" i="69" s="1"/>
  <c r="BO19" i="69"/>
  <c r="U79" i="69" s="1"/>
  <c r="G21" i="69"/>
  <c r="AF69" i="69" s="1"/>
  <c r="BW20" i="69"/>
  <c r="W81" i="69" s="1"/>
  <c r="AU19" i="69"/>
  <c r="Q76" i="69" s="1"/>
  <c r="I20" i="69"/>
  <c r="W70" i="69" s="1"/>
  <c r="BB18" i="69"/>
  <c r="R77" i="69" s="1"/>
  <c r="V20" i="69"/>
  <c r="Y72" i="69" s="1"/>
  <c r="AD18" i="69"/>
  <c r="R73" i="69" s="1"/>
  <c r="BU18" i="69"/>
  <c r="T80" i="69" s="1"/>
  <c r="CF20" i="69"/>
  <c r="AC82" i="69" s="1"/>
  <c r="V21" i="69"/>
  <c r="Z72" i="69" s="1"/>
  <c r="X19" i="69"/>
  <c r="S72" i="69" s="1"/>
  <c r="BF21" i="69"/>
  <c r="Z78" i="69" s="1"/>
  <c r="DO19" i="69"/>
  <c r="Q88" i="69" s="1"/>
  <c r="CQ21" i="69"/>
  <c r="AB84" i="69" s="1"/>
  <c r="BY21" i="69"/>
  <c r="AB81" i="69" s="1"/>
  <c r="BI18" i="69"/>
  <c r="T78" i="69" s="1"/>
  <c r="BG19" i="69"/>
  <c r="Q78" i="69" s="1"/>
  <c r="CJ21" i="69"/>
  <c r="Z83" i="69" s="1"/>
  <c r="BU20" i="69"/>
  <c r="AE80" i="69" s="1"/>
  <c r="CF19" i="69"/>
  <c r="S82" i="69" s="1"/>
  <c r="CD20" i="69"/>
  <c r="Y82" i="69" s="1"/>
  <c r="BW21" i="69"/>
  <c r="X81" i="69" s="1"/>
  <c r="AB20" i="69"/>
  <c r="Y73" i="69" s="1"/>
  <c r="BK20" i="69"/>
  <c r="W79" i="69" s="1"/>
  <c r="CR19" i="69"/>
  <c r="S84" i="69" s="1"/>
  <c r="AA18" i="69"/>
  <c r="L73" i="69" s="1"/>
  <c r="R21" i="69"/>
  <c r="AD71" i="69" s="1"/>
  <c r="CS20" i="69"/>
  <c r="AE84" i="69" s="1"/>
  <c r="DQ21" i="69"/>
  <c r="AF88" i="69" s="1"/>
  <c r="BH21" i="69"/>
  <c r="AD78" i="69" s="1"/>
  <c r="AQ19" i="69"/>
  <c r="U75" i="69" s="1"/>
  <c r="DI19" i="69"/>
  <c r="Q87" i="69" s="1"/>
  <c r="BK18" i="69"/>
  <c r="L79" i="69" s="1"/>
  <c r="AW20" i="69"/>
  <c r="AE76" i="69" s="1"/>
  <c r="DE18" i="69"/>
  <c r="T86" i="69" s="1"/>
  <c r="AM20" i="69"/>
  <c r="W75" i="69" s="1"/>
  <c r="AQ18" i="69"/>
  <c r="T75" i="69" s="1"/>
  <c r="C21" i="69"/>
  <c r="X69" i="69" s="1"/>
  <c r="C20" i="69"/>
  <c r="W69" i="69" s="1"/>
  <c r="C19" i="69"/>
  <c r="M69" i="69" s="1"/>
  <c r="C18" i="69"/>
  <c r="AF51" i="69"/>
  <c r="AF52" i="69"/>
  <c r="S51" i="69"/>
  <c r="S52" i="69"/>
  <c r="B31" i="69"/>
  <c r="X94" i="69" l="1"/>
  <c r="M94" i="69"/>
  <c r="W94" i="69"/>
  <c r="S94" i="69"/>
  <c r="AF94" i="69"/>
  <c r="Y94" i="69"/>
  <c r="Q94" i="69"/>
  <c r="T94" i="69"/>
  <c r="P94" i="69"/>
  <c r="N94" i="69"/>
  <c r="AA94" i="69"/>
  <c r="AB94" i="69"/>
  <c r="O94" i="69"/>
  <c r="U94" i="69"/>
  <c r="Z94" i="69"/>
  <c r="AE94" i="69"/>
  <c r="AD94" i="69"/>
  <c r="AC94" i="69"/>
  <c r="R94" i="69"/>
  <c r="L69" i="69"/>
  <c r="L94" i="69" s="1"/>
  <c r="E47" i="69" l="1"/>
  <c r="AQ53" i="69" s="1"/>
  <c r="E48" i="69"/>
  <c r="AQ54" i="69" s="1"/>
  <c r="D47" i="69"/>
  <c r="AD53" i="69" s="1"/>
  <c r="D48" i="69"/>
  <c r="AD54" i="69" s="1"/>
  <c r="F48" i="69"/>
  <c r="BD54" i="69" s="1"/>
  <c r="F47" i="69"/>
  <c r="BD53" i="69" s="1"/>
  <c r="G48" i="69"/>
  <c r="BQ54" i="69" s="1"/>
  <c r="G47" i="69"/>
  <c r="BQ53" i="69" s="1"/>
  <c r="C47" i="69"/>
  <c r="Q53" i="69" s="1"/>
  <c r="C48" i="69"/>
  <c r="Q54" i="69" s="1"/>
  <c r="AS54" i="69" a="1"/>
  <c r="BF53" i="69" a="1"/>
  <c r="S54" i="69" a="1"/>
  <c r="S53" i="69" a="1"/>
  <c r="BF54" i="69" a="1"/>
  <c r="AS53" i="69" a="1"/>
  <c r="BS54" i="69" a="1"/>
  <c r="BS53" i="69" a="1"/>
  <c r="AF54" i="69" a="1"/>
  <c r="AF53" i="69" a="1"/>
  <c r="BS54" i="69" l="1"/>
  <c r="BS53" i="69"/>
  <c r="BF53" i="69"/>
  <c r="AF53" i="69"/>
  <c r="BF54" i="69"/>
  <c r="AF54" i="69"/>
  <c r="S54" i="69"/>
  <c r="AS54" i="69"/>
  <c r="S53" i="69"/>
  <c r="AS53" i="6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<sst xmlns="http://schemas.openxmlformats.org/spreadsheetml/2006/main" count="540" uniqueCount="136">
  <si>
    <t>Sheet</t>
  </si>
  <si>
    <t>Chart</t>
  </si>
  <si>
    <t>Boundary</t>
  </si>
  <si>
    <t>Axis</t>
  </si>
  <si>
    <t>Type</t>
  </si>
  <si>
    <t>Value</t>
  </si>
  <si>
    <t>Chart1</t>
  </si>
  <si>
    <t>Min</t>
  </si>
  <si>
    <t>X</t>
  </si>
  <si>
    <t>Primary</t>
  </si>
  <si>
    <t>Max</t>
  </si>
  <si>
    <t>Y</t>
  </si>
  <si>
    <t>Chart2</t>
  </si>
  <si>
    <t>bpp</t>
  </si>
  <si>
    <t>PSNR-D1</t>
  </si>
  <si>
    <t>PSNR-D2</t>
  </si>
  <si>
    <t>RWT2.ply</t>
  </si>
  <si>
    <t>Points</t>
  </si>
  <si>
    <t>RWT34.ply</t>
  </si>
  <si>
    <t>RWT53.ply</t>
  </si>
  <si>
    <t>RWT70.ply</t>
  </si>
  <si>
    <t>RWT120.ply</t>
  </si>
  <si>
    <t>RWT130.ply</t>
  </si>
  <si>
    <t>RWT134.ply</t>
  </si>
  <si>
    <t>RWT136.ply</t>
  </si>
  <si>
    <t>RWT144.ply</t>
  </si>
  <si>
    <t>RWT152.ply</t>
  </si>
  <si>
    <t>RWT246.ply</t>
  </si>
  <si>
    <t>RWT305.ply</t>
  </si>
  <si>
    <t>RWT374.ply</t>
  </si>
  <si>
    <t>RWT395.ply</t>
  </si>
  <si>
    <t>RWT430.ply</t>
  </si>
  <si>
    <t>RWT462.ply</t>
  </si>
  <si>
    <t>RWT473.ply</t>
  </si>
  <si>
    <t>RWT501.ply</t>
  </si>
  <si>
    <t>RWT503b.ply</t>
  </si>
  <si>
    <t>RWT529.ply</t>
  </si>
  <si>
    <t>R1</t>
  </si>
  <si>
    <t>R2</t>
  </si>
  <si>
    <t>R3</t>
  </si>
  <si>
    <t>R4</t>
  </si>
  <si>
    <t>V-PCC Intra</t>
  </si>
  <si>
    <t>FinalData</t>
  </si>
  <si>
    <t>BD-Rate</t>
  </si>
  <si>
    <t>BD-PSNR</t>
  </si>
  <si>
    <t>D1</t>
  </si>
  <si>
    <t>D2</t>
  </si>
  <si>
    <t>PCQM</t>
  </si>
  <si>
    <t>PSNR-Y</t>
  </si>
  <si>
    <t>PSNR-YUV</t>
  </si>
  <si>
    <t>Chart3</t>
  </si>
  <si>
    <t>Chart4</t>
  </si>
  <si>
    <t>Chart5</t>
  </si>
  <si>
    <t>YUV</t>
  </si>
  <si>
    <t>Average</t>
  </si>
  <si>
    <t>PC Name</t>
  </si>
  <si>
    <t>DinoSkull</t>
  </si>
  <si>
    <t>Lakoon</t>
  </si>
  <si>
    <t>Van</t>
  </si>
  <si>
    <t>StMichael</t>
  </si>
  <si>
    <t>CowStatue</t>
  </si>
  <si>
    <t>Bouquet</t>
  </si>
  <si>
    <t>CatStatue</t>
  </si>
  <si>
    <t>BodyScanBlueShirt</t>
  </si>
  <si>
    <t>Cabbage</t>
  </si>
  <si>
    <t>SteamEngine</t>
  </si>
  <si>
    <t>ArmChair</t>
  </si>
  <si>
    <t>BoatJosefa</t>
  </si>
  <si>
    <t>CapitolineWolf</t>
  </si>
  <si>
    <t>KingCrab</t>
  </si>
  <si>
    <t>WoodenChest</t>
  </si>
  <si>
    <t>BodyScanOlia</t>
  </si>
  <si>
    <t>PaintedEgg</t>
  </si>
  <si>
    <t>Annibal</t>
  </si>
  <si>
    <t>Iguana</t>
  </si>
  <si>
    <t>Pliers</t>
  </si>
  <si>
    <t>Filename</t>
  </si>
  <si>
    <t>Select Point Cloud -&gt;</t>
  </si>
  <si>
    <t>Bjontegaard-Delta</t>
  </si>
  <si>
    <t>goat_skull</t>
  </si>
  <si>
    <t>kinfuscene0043</t>
  </si>
  <si>
    <t>kinfudesk</t>
  </si>
  <si>
    <t>kinfuscene0069</t>
  </si>
  <si>
    <t>kinfubooks</t>
  </si>
  <si>
    <t>PC_09</t>
  </si>
  <si>
    <t>LivingRoom</t>
  </si>
  <si>
    <t>RuaDeCoimbra_vox10</t>
  </si>
  <si>
    <t>RuaDeCoimbra</t>
  </si>
  <si>
    <t>Reference: V-PCC Intra</t>
  </si>
  <si>
    <t>IT-DL-PCC</t>
  </si>
  <si>
    <t>IT-DL-PCC vs G-PCC</t>
  </si>
  <si>
    <t>IT-DL-PCC vs V-PCC</t>
  </si>
  <si>
    <t>G-PCC Octree + PredLift</t>
  </si>
  <si>
    <t>Reference: G-PCC Octree + PredLift</t>
  </si>
  <si>
    <t>bs=128 sf=2 sr=1 qs=1 λ=0.004</t>
  </si>
  <si>
    <t>bs=128 sf=2 sr=1 qs=1 λ=0.0005</t>
  </si>
  <si>
    <t>bs=128 sf=1 sr=0 qs=1 λ=0.0005</t>
  </si>
  <si>
    <t>bs=256 sf=1 sr=0 qs=1 λ=0.000125</t>
  </si>
  <si>
    <t>bs=256 sf=1 sr=0 qs=1 λ=0.0005</t>
  </si>
  <si>
    <t>bs=128 sf=2 sr=1 qs=1.1 λ=0.004</t>
  </si>
  <si>
    <t>bs=128 sf=2 sr=1 qs=1.2 λ=0.0005</t>
  </si>
  <si>
    <t>bs=128 sf=2 sr=1 qs=1.4 λ=0.004</t>
  </si>
  <si>
    <t>bs=128 sf=2 sr=1 qs=1 λ=0.001</t>
  </si>
  <si>
    <t>bs=256 sf=1 sr=0 qs=1 λ=0.001</t>
  </si>
  <si>
    <t>bs=64 sf=2 sr=1 qs=1 λ=0.004</t>
  </si>
  <si>
    <t>bs=128 sf=1 sr=0 qs=1 λ=0.004</t>
  </si>
  <si>
    <t>bs=256 sf=4 sr=0 qs=1 λ=0.001</t>
  </si>
  <si>
    <t>bs=128 sf=2 sr=1 qs=1.1 λ=0.001</t>
  </si>
  <si>
    <t>bs=256 sf=1 sr=0 qs=1.2 λ=0.001</t>
  </si>
  <si>
    <t>bs=128 sf=4 sr=0 qs=1 λ=0.001</t>
  </si>
  <si>
    <t>bs=128 sf=2 sr=1 qs=1 λ=0.002</t>
  </si>
  <si>
    <t>bs=256 sf=1 sr=0 qs=1.1 λ=0.004</t>
  </si>
  <si>
    <t>bs=256 sf=1 sr=0 qs=1.1 λ=0.0005</t>
  </si>
  <si>
    <t>bs=128 sf=2 sr=1 qs=1.1 λ=0.002</t>
  </si>
  <si>
    <t>bs=128 sf=2 sr=1 qs=1 λ=0.00025</t>
  </si>
  <si>
    <t>bs=128 sf=1 sr=0 qs=1 λ=0.00025</t>
  </si>
  <si>
    <t>bs=256 sf=2 sr=0 qs=1 λ=0.004</t>
  </si>
  <si>
    <t>bs=256 sf=1 sr=0 qs=1.2 λ=0.0005</t>
  </si>
  <si>
    <t>bs=256 sf=1 sr=0 qs=1 λ=0.004</t>
  </si>
  <si>
    <t>bs=256 sf=4 sr=0 qs=1.1 λ=0.0005</t>
  </si>
  <si>
    <t>bs=64 sf=4 sr=1 qs=1 λ=0.00025</t>
  </si>
  <si>
    <t>bs=128 sf=4 sr=0 qs=1 λ=0.0005</t>
  </si>
  <si>
    <t>bs=128 sf=1 sr=0 qs=1 λ=0.001</t>
  </si>
  <si>
    <t>bs=64 sf=4 sr=1 qs=1 λ=0.002</t>
  </si>
  <si>
    <t>bs=256 sf=1 sr=0 qs=1 λ=0.002</t>
  </si>
  <si>
    <t>bs=256 sf=1 sr=0 qs=1 λ=0.00025</t>
  </si>
  <si>
    <t>bs=128 sf=8 sr=0 qs=1 λ=0.004</t>
  </si>
  <si>
    <t>bs=256 sf=4 sr=0 qs=1 λ=0.004</t>
  </si>
  <si>
    <t>bs=64 sf=2 sr=1 qs=1.1 λ=0.002</t>
  </si>
  <si>
    <t>bs=256 sf=8 sr=0 qs=1 λ=0.004</t>
  </si>
  <si>
    <t>bs=256 sf=6 sr=0 qs=1 λ=0.001</t>
  </si>
  <si>
    <t>bs=256 sf=4 sr=0 qs=1 λ=0.00025</t>
  </si>
  <si>
    <t>bs=256 sf=4 sr=0 qs=1 λ=0.002</t>
  </si>
  <si>
    <t>bs=256 sf=2 sr=0 qs=1 λ=0.00025</t>
  </si>
  <si>
    <t>bs=64 sf=4 sr=1 qs=1 λ=0.004</t>
  </si>
  <si>
    <t>bs=256 sf=1 sr=0 qs=1.2 λ=0.002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</si>
</sst>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1" xfId="0" applyBorder="1"/>
    <xf numFmtId="0" fontId="0" fillId="0" borderId="6" xfId="0" applyBorder="1"/>
    <xf numFmtId="10" fontId="0" fillId="0" borderId="0" xfId="1" applyNumberFormat="1" applyFont="1"/>
    <xf numFmtId="0" fontId="0" fillId="0" borderId="0" xfId="0" applyAlignment="1">
      <alignment horizontal="center" vertical="center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164" fontId="0" fillId="0" borderId="1" xfId="0" applyNumberFormat="1" applyBorder="1"/>
    <xf numFmtId="2" fontId="0" fillId="0" borderId="8" xfId="0" applyNumberFormat="1" applyBorder="1"/>
    <xf numFmtId="2" fontId="0" fillId="0" borderId="3" xfId="1" applyNumberFormat="1" applyFont="1" applyBorder="1"/>
    <xf numFmtId="2" fontId="0" fillId="0" borderId="5" xfId="1" applyNumberFormat="1" applyFont="1" applyBorder="1"/>
    <xf numFmtId="2" fontId="0" fillId="0" borderId="8" xfId="1" applyNumberFormat="1" applyFont="1" applyBorder="1"/>
    <xf numFmtId="10" fontId="0" fillId="0" borderId="0" xfId="0" applyNumberFormat="1"/>
    <xf numFmtId="0" fontId="0" fillId="0" borderId="0" xfId="0" applyFill="1"/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2" xfId="0" applyNumberFormat="1" applyBorder="1"/>
    <xf numFmtId="164" fontId="0" fillId="0" borderId="0" xfId="0" applyNumberFormat="1" applyBorder="1"/>
    <xf numFmtId="164" fontId="0" fillId="0" borderId="7" xfId="0" applyNumberFormat="1" applyBorder="1"/>
    <xf numFmtId="2" fontId="0" fillId="0" borderId="0" xfId="1" applyNumberFormat="1" applyFont="1" applyBorder="1"/>
    <xf numFmtId="2" fontId="0" fillId="0" borderId="2" xfId="1" applyNumberFormat="1" applyFont="1" applyBorder="1"/>
    <xf numFmtId="2" fontId="0" fillId="0" borderId="7" xfId="1" applyNumberFormat="1" applyFont="1" applyBorder="1"/>
    <xf numFmtId="0" fontId="0" fillId="0" borderId="6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Normal" xfId="0" builtinId="0"/>
    <cellStyle name="Percentagem" xfId="1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CC"/>
      <color rgb="FF66FFFF"/>
      <color rgb="FFF8696B"/>
      <color rgb="FF63BE7B"/>
      <color rgb="FF9E480E"/>
      <color rgb="FFFE3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FinalData!$B$30</c:f>
          <c:strCache>
            <c:ptCount val="1"/>
            <c:pt idx="0">
              <c:v>DinoSkull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FinalData!$A$36</c:f>
              <c:strCache>
                <c:ptCount val="1"/>
                <c:pt idx="0">
                  <c:v>G-PCC Octree + PredLift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FinalData!$B$36:$B$39</c:f>
              <c:numCache>
                <c:formatCode>General</c:formatCode>
                <c:ptCount val="4"/>
                <c:pt idx="0">
                  <c:v>9.9691896069508804E-2</c:v>
                </c:pt>
                <c:pt idx="1">
                  <c:v>0.32935235791348799</c:v>
                </c:pt>
                <c:pt idx="2">
                  <c:v>1.0985031486211501</c:v>
                </c:pt>
                <c:pt idx="3">
                  <c:v>3.2340238234692702</c:v>
                </c:pt>
              </c:numCache>
            </c:numRef>
          </c:xVal>
          <c:yVal>
            <c:numRef>
              <c:f>FinalData!$C$36:$C$39</c:f>
              <c:numCache>
                <c:formatCode>General</c:formatCode>
                <c:ptCount val="4"/>
                <c:pt idx="0">
                  <c:v>56.563499999999998</c:v>
                </c:pt>
                <c:pt idx="1">
                  <c:v>61.619700000000002</c:v>
                </c:pt>
                <c:pt idx="2">
                  <c:v>66.975800000000007</c:v>
                </c:pt>
                <c:pt idx="3">
                  <c:v>70.514600000000002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74B-4397-91E3-992756DB92B2}"/>
            </c:ext>
          </c:extLst>
        </c:ser>
        <c:ser>
          <c:idx val="4"/>
          <c:order val="1"/>
          <c:tx>
            <c:strRef>
              <c:f>FinalData!$A$40</c:f>
              <c:strCache>
                <c:ptCount val="1"/>
                <c:pt idx="0">
                  <c:v>V-PCC Intra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FinalData!$B$40:$B$43</c:f>
              <c:numCache>
                <c:formatCode>General</c:formatCode>
                <c:ptCount val="4"/>
                <c:pt idx="0">
                  <c:v>0.103798793230724</c:v>
                </c:pt>
                <c:pt idx="1">
                  <c:v>0.31067550660395898</c:v>
                </c:pt>
                <c:pt idx="2">
                  <c:v>1.02476614946333</c:v>
                </c:pt>
                <c:pt idx="3">
                  <c:v>2.8882820000069298</c:v>
                </c:pt>
              </c:numCache>
            </c:numRef>
          </c:xVal>
          <c:yVal>
            <c:numRef>
              <c:f>FinalData!$C$40:$C$43</c:f>
              <c:numCache>
                <c:formatCode>General</c:formatCode>
                <c:ptCount val="4"/>
                <c:pt idx="0">
                  <c:v>62.001100000000001</c:v>
                </c:pt>
                <c:pt idx="1">
                  <c:v>69.058099999999996</c:v>
                </c:pt>
                <c:pt idx="2">
                  <c:v>71.5441</c:v>
                </c:pt>
                <c:pt idx="3">
                  <c:v>72.853899999999996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74B-4397-91E3-992756DB92B2}"/>
            </c:ext>
          </c:extLst>
        </c:ser>
        <c:ser>
          <c:idx val="2"/>
          <c:order val="2"/>
          <c:tx>
            <c:strRef>
              <c:f>FinalData!$A$32</c:f>
              <c:strCache>
                <c:ptCount val="1"/>
                <c:pt idx="0">
                  <c:v>IT-DL-PCC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FinalData!$B$32:$B$35</c:f>
              <c:numCache>
                <c:formatCode>General</c:formatCode>
                <c:ptCount val="4"/>
                <c:pt idx="0">
                  <c:v>1.94099</c:v>
                </c:pt>
                <c:pt idx="1">
                  <c:v>1.0716600000000001</c:v>
                </c:pt>
                <c:pt idx="2">
                  <c:v>0.31343799999999999</c:v>
                </c:pt>
                <c:pt idx="3">
                  <c:v>9.6049399999999993E-2</c:v>
                </c:pt>
              </c:numCache>
            </c:numRef>
          </c:xVal>
          <c:yVal>
            <c:numRef>
              <c:f>FinalData!$C$32:$C$35</c:f>
              <c:numCache>
                <c:formatCode>General</c:formatCode>
                <c:ptCount val="4"/>
                <c:pt idx="0">
                  <c:v>74.031499999999994</c:v>
                </c:pt>
                <c:pt idx="1">
                  <c:v>73.012299999999996</c:v>
                </c:pt>
                <c:pt idx="2">
                  <c:v>67.867199999999997</c:v>
                </c:pt>
                <c:pt idx="3">
                  <c:v>63.223100000000002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4B-4397-91E3-992756DB9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</c:scatterChart>
      <c:valAx>
        <c:axId val="1957850207"/>
        <c:scaling>
          <c:orientation val="minMax"/>
          <c:max val="3.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53461423"/>
        <c:crosses val="autoZero"/>
        <c:crossBetween val="midCat"/>
      </c:valAx>
      <c:valAx>
        <c:axId val="2053461423"/>
        <c:scaling>
          <c:orientation val="minMax"/>
          <c:max val="75"/>
          <c:min val="5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PSNR D1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5785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28326954224505"/>
          <c:y val="0.32946710351476682"/>
          <c:w val="0.16643033531801471"/>
          <c:h val="0.31687092434772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FinalData!$B$30</c:f>
          <c:strCache>
            <c:ptCount val="1"/>
            <c:pt idx="0">
              <c:v>DinoSkull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FinalData!$A$36</c:f>
              <c:strCache>
                <c:ptCount val="1"/>
                <c:pt idx="0">
                  <c:v>G-PCC Octree + PredLift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FinalData!$B$36:$B$39</c:f>
              <c:numCache>
                <c:formatCode>General</c:formatCode>
                <c:ptCount val="4"/>
                <c:pt idx="0">
                  <c:v>9.9691896069508804E-2</c:v>
                </c:pt>
                <c:pt idx="1">
                  <c:v>0.32935235791348799</c:v>
                </c:pt>
                <c:pt idx="2">
                  <c:v>1.0985031486211501</c:v>
                </c:pt>
                <c:pt idx="3">
                  <c:v>3.2340238234692702</c:v>
                </c:pt>
              </c:numCache>
            </c:numRef>
          </c:xVal>
          <c:yVal>
            <c:numRef>
              <c:f>FinalData!$D$36:$D$39</c:f>
              <c:numCache>
                <c:formatCode>General</c:formatCode>
                <c:ptCount val="4"/>
                <c:pt idx="0">
                  <c:v>60.387599999999999</c:v>
                </c:pt>
                <c:pt idx="1">
                  <c:v>66.337100000000007</c:v>
                </c:pt>
                <c:pt idx="2">
                  <c:v>71.807599999999994</c:v>
                </c:pt>
                <c:pt idx="3">
                  <c:v>75.264799999999994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A9-4438-A31F-74EAB539DCF4}"/>
            </c:ext>
          </c:extLst>
        </c:ser>
        <c:ser>
          <c:idx val="4"/>
          <c:order val="1"/>
          <c:tx>
            <c:strRef>
              <c:f>FinalData!$A$40</c:f>
              <c:strCache>
                <c:ptCount val="1"/>
                <c:pt idx="0">
                  <c:v>V-PCC Intra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FinalData!$B$40:$B$43</c:f>
              <c:numCache>
                <c:formatCode>General</c:formatCode>
                <c:ptCount val="4"/>
                <c:pt idx="0">
                  <c:v>0.103798793230724</c:v>
                </c:pt>
                <c:pt idx="1">
                  <c:v>0.31067550660395898</c:v>
                </c:pt>
                <c:pt idx="2">
                  <c:v>1.02476614946333</c:v>
                </c:pt>
                <c:pt idx="3">
                  <c:v>2.8882820000069298</c:v>
                </c:pt>
              </c:numCache>
            </c:numRef>
          </c:xVal>
          <c:yVal>
            <c:numRef>
              <c:f>FinalData!$D$40:$D$43</c:f>
              <c:numCache>
                <c:formatCode>General</c:formatCode>
                <c:ptCount val="4"/>
                <c:pt idx="0">
                  <c:v>63.750799999999998</c:v>
                </c:pt>
                <c:pt idx="1">
                  <c:v>72.462299999999999</c:v>
                </c:pt>
                <c:pt idx="2">
                  <c:v>75.8172</c:v>
                </c:pt>
                <c:pt idx="3">
                  <c:v>77.381100000000004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BA9-4438-A31F-74EAB539DCF4}"/>
            </c:ext>
          </c:extLst>
        </c:ser>
        <c:ser>
          <c:idx val="2"/>
          <c:order val="2"/>
          <c:tx>
            <c:strRef>
              <c:f>FinalData!$A$32</c:f>
              <c:strCache>
                <c:ptCount val="1"/>
                <c:pt idx="0">
                  <c:v>IT-DL-PCC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FinalData!$B$32:$B$35</c:f>
              <c:numCache>
                <c:formatCode>General</c:formatCode>
                <c:ptCount val="4"/>
                <c:pt idx="0">
                  <c:v>1.94099</c:v>
                </c:pt>
                <c:pt idx="1">
                  <c:v>1.0716600000000001</c:v>
                </c:pt>
                <c:pt idx="2">
                  <c:v>0.31343799999999999</c:v>
                </c:pt>
                <c:pt idx="3">
                  <c:v>9.6049399999999993E-2</c:v>
                </c:pt>
              </c:numCache>
            </c:numRef>
          </c:xVal>
          <c:yVal>
            <c:numRef>
              <c:f>FinalData!$D$32:$D$35</c:f>
              <c:numCache>
                <c:formatCode>General</c:formatCode>
                <c:ptCount val="4"/>
                <c:pt idx="0">
                  <c:v>78.2303</c:v>
                </c:pt>
                <c:pt idx="1">
                  <c:v>77.024100000000004</c:v>
                </c:pt>
                <c:pt idx="2">
                  <c:v>70.966999999999999</c:v>
                </c:pt>
                <c:pt idx="3">
                  <c:v>65.497900000000001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A9-4438-A31F-74EAB539D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</c:scatterChart>
      <c:valAx>
        <c:axId val="1957850207"/>
        <c:scaling>
          <c:orientation val="minMax"/>
          <c:max val="3.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53461423"/>
        <c:crosses val="autoZero"/>
        <c:crossBetween val="midCat"/>
      </c:valAx>
      <c:valAx>
        <c:axId val="2053461423"/>
        <c:scaling>
          <c:orientation val="minMax"/>
          <c:max val="79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PSNR D2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5785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769807645293522"/>
          <c:y val="0.3632487550723863"/>
          <c:w val="0.17840559330031841"/>
          <c:h val="0.29231405764063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FinalData!$B$30</c:f>
          <c:strCache>
            <c:ptCount val="1"/>
            <c:pt idx="0">
              <c:v>DinoSkull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FinalData!$A$36</c:f>
              <c:strCache>
                <c:ptCount val="1"/>
                <c:pt idx="0">
                  <c:v>G-PCC Octree + PredLift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FinalData!$B$36:$B$39</c:f>
              <c:numCache>
                <c:formatCode>General</c:formatCode>
                <c:ptCount val="4"/>
                <c:pt idx="0">
                  <c:v>9.9691896069508804E-2</c:v>
                </c:pt>
                <c:pt idx="1">
                  <c:v>0.32935235791348799</c:v>
                </c:pt>
                <c:pt idx="2">
                  <c:v>1.0985031486211501</c:v>
                </c:pt>
                <c:pt idx="3">
                  <c:v>3.2340238234692702</c:v>
                </c:pt>
              </c:numCache>
            </c:numRef>
          </c:xVal>
          <c:yVal>
            <c:numRef>
              <c:f>FinalData!$E$36:$E$39</c:f>
              <c:numCache>
                <c:formatCode>General</c:formatCode>
                <c:ptCount val="4"/>
                <c:pt idx="0">
                  <c:v>25.536799999999999</c:v>
                </c:pt>
                <c:pt idx="1">
                  <c:v>28.153400000000001</c:v>
                </c:pt>
                <c:pt idx="2">
                  <c:v>29.898199999999999</c:v>
                </c:pt>
                <c:pt idx="3">
                  <c:v>36.31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C6-4697-9A1A-032E899DEE8C}"/>
            </c:ext>
          </c:extLst>
        </c:ser>
        <c:ser>
          <c:idx val="4"/>
          <c:order val="1"/>
          <c:tx>
            <c:strRef>
              <c:f>FinalData!$A$40</c:f>
              <c:strCache>
                <c:ptCount val="1"/>
                <c:pt idx="0">
                  <c:v>V-PCC Intra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FinalData!$B$40:$B$43</c:f>
              <c:numCache>
                <c:formatCode>General</c:formatCode>
                <c:ptCount val="4"/>
                <c:pt idx="0">
                  <c:v>0.103798793230724</c:v>
                </c:pt>
                <c:pt idx="1">
                  <c:v>0.31067550660395898</c:v>
                </c:pt>
                <c:pt idx="2">
                  <c:v>1.02476614946333</c:v>
                </c:pt>
                <c:pt idx="3">
                  <c:v>2.8882820000069298</c:v>
                </c:pt>
              </c:numCache>
            </c:numRef>
          </c:xVal>
          <c:yVal>
            <c:numRef>
              <c:f>FinalData!$E$40:$E$43</c:f>
              <c:numCache>
                <c:formatCode>General</c:formatCode>
                <c:ptCount val="4"/>
                <c:pt idx="0">
                  <c:v>29.6493</c:v>
                </c:pt>
                <c:pt idx="1">
                  <c:v>33.517499999999998</c:v>
                </c:pt>
                <c:pt idx="2">
                  <c:v>37.031100000000002</c:v>
                </c:pt>
                <c:pt idx="3">
                  <c:v>39.753700000000002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C6-4697-9A1A-032E899DEE8C}"/>
            </c:ext>
          </c:extLst>
        </c:ser>
        <c:ser>
          <c:idx val="2"/>
          <c:order val="2"/>
          <c:tx>
            <c:strRef>
              <c:f>FinalData!$A$32</c:f>
              <c:strCache>
                <c:ptCount val="1"/>
                <c:pt idx="0">
                  <c:v>IT-DL-PCC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FinalData!$B$32:$B$35</c:f>
              <c:numCache>
                <c:formatCode>General</c:formatCode>
                <c:ptCount val="4"/>
                <c:pt idx="0">
                  <c:v>1.94099</c:v>
                </c:pt>
                <c:pt idx="1">
                  <c:v>1.0716600000000001</c:v>
                </c:pt>
                <c:pt idx="2">
                  <c:v>0.31343799999999999</c:v>
                </c:pt>
                <c:pt idx="3">
                  <c:v>9.6049399999999993E-2</c:v>
                </c:pt>
              </c:numCache>
            </c:numRef>
          </c:xVal>
          <c:yVal>
            <c:numRef>
              <c:f>FinalData!$E$32:$E$35</c:f>
              <c:numCache>
                <c:formatCode>General</c:formatCode>
                <c:ptCount val="4"/>
                <c:pt idx="0">
                  <c:v>35.075200000000002</c:v>
                </c:pt>
                <c:pt idx="1">
                  <c:v>34.595999999999997</c:v>
                </c:pt>
                <c:pt idx="2">
                  <c:v>30.595099999999999</c:v>
                </c:pt>
                <c:pt idx="3">
                  <c:v>27.962399999999999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C6-4697-9A1A-032E899DE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</c:scatterChart>
      <c:valAx>
        <c:axId val="1957850207"/>
        <c:scaling>
          <c:orientation val="minMax"/>
          <c:max val="3.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53461423"/>
        <c:crosses val="autoZero"/>
        <c:crossBetween val="midCat"/>
      </c:valAx>
      <c:valAx>
        <c:axId val="2053461423"/>
        <c:scaling>
          <c:orientation val="minMax"/>
          <c:max val="40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PSNR Y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5785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87058163229906"/>
          <c:y val="0.34789345890983203"/>
          <c:w val="0.18864685233763337"/>
          <c:h val="0.31484692704251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FinalData!$B$30</c:f>
          <c:strCache>
            <c:ptCount val="1"/>
            <c:pt idx="0">
              <c:v>DinoSkull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FinalData!$A$36</c:f>
              <c:strCache>
                <c:ptCount val="1"/>
                <c:pt idx="0">
                  <c:v>G-PCC Octree + PredLift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FinalData!$B$36:$B$39</c:f>
              <c:numCache>
                <c:formatCode>General</c:formatCode>
                <c:ptCount val="4"/>
                <c:pt idx="0">
                  <c:v>9.9691896069508804E-2</c:v>
                </c:pt>
                <c:pt idx="1">
                  <c:v>0.32935235791348799</c:v>
                </c:pt>
                <c:pt idx="2">
                  <c:v>1.0985031486211501</c:v>
                </c:pt>
                <c:pt idx="3">
                  <c:v>3.2340238234692702</c:v>
                </c:pt>
              </c:numCache>
            </c:numRef>
          </c:xVal>
          <c:yVal>
            <c:numRef>
              <c:f>FinalData!$F$36:$F$39</c:f>
              <c:numCache>
                <c:formatCode>General</c:formatCode>
                <c:ptCount val="4"/>
                <c:pt idx="0">
                  <c:v>27.028937500000001</c:v>
                </c:pt>
                <c:pt idx="1">
                  <c:v>29.399337500000001</c:v>
                </c:pt>
                <c:pt idx="2">
                  <c:v>30.643324999999997</c:v>
                </c:pt>
                <c:pt idx="3">
                  <c:v>37.323475000000002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DA-4D6A-B235-59FE5ECD99C7}"/>
            </c:ext>
          </c:extLst>
        </c:ser>
        <c:ser>
          <c:idx val="4"/>
          <c:order val="1"/>
          <c:tx>
            <c:strRef>
              <c:f>FinalData!$A$40</c:f>
              <c:strCache>
                <c:ptCount val="1"/>
                <c:pt idx="0">
                  <c:v>V-PCC Intra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FinalData!$B$40:$B$43</c:f>
              <c:numCache>
                <c:formatCode>General</c:formatCode>
                <c:ptCount val="4"/>
                <c:pt idx="0">
                  <c:v>0.103798793230724</c:v>
                </c:pt>
                <c:pt idx="1">
                  <c:v>0.31067550660395898</c:v>
                </c:pt>
                <c:pt idx="2">
                  <c:v>1.02476614946333</c:v>
                </c:pt>
                <c:pt idx="3">
                  <c:v>2.8882820000069298</c:v>
                </c:pt>
              </c:numCache>
            </c:numRef>
          </c:xVal>
          <c:yVal>
            <c:numRef>
              <c:f>FinalData!$F$40:$F$43</c:f>
              <c:numCache>
                <c:formatCode>General</c:formatCode>
                <c:ptCount val="4"/>
                <c:pt idx="0">
                  <c:v>32.564087499999999</c:v>
                </c:pt>
                <c:pt idx="1">
                  <c:v>35.962287500000002</c:v>
                </c:pt>
                <c:pt idx="2">
                  <c:v>39.166924999999999</c:v>
                </c:pt>
                <c:pt idx="3">
                  <c:v>42.028412500000002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DA-4D6A-B235-59FE5ECD99C7}"/>
            </c:ext>
          </c:extLst>
        </c:ser>
        <c:ser>
          <c:idx val="2"/>
          <c:order val="2"/>
          <c:tx>
            <c:strRef>
              <c:f>FinalData!$A$32</c:f>
              <c:strCache>
                <c:ptCount val="1"/>
                <c:pt idx="0">
                  <c:v>IT-DL-PCC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FinalData!$B$32:$B$35</c:f>
              <c:numCache>
                <c:formatCode>General</c:formatCode>
                <c:ptCount val="4"/>
                <c:pt idx="0">
                  <c:v>1.94099</c:v>
                </c:pt>
                <c:pt idx="1">
                  <c:v>1.0716600000000001</c:v>
                </c:pt>
                <c:pt idx="2">
                  <c:v>0.31343799999999999</c:v>
                </c:pt>
                <c:pt idx="3">
                  <c:v>9.6049399999999993E-2</c:v>
                </c:pt>
              </c:numCache>
            </c:numRef>
          </c:xVal>
          <c:yVal>
            <c:numRef>
              <c:f>FinalData!$F$32:$F$35</c:f>
              <c:numCache>
                <c:formatCode>General</c:formatCode>
                <c:ptCount val="4"/>
                <c:pt idx="0">
                  <c:v>37.367150000000002</c:v>
                </c:pt>
                <c:pt idx="1">
                  <c:v>36.969224999999994</c:v>
                </c:pt>
                <c:pt idx="2">
                  <c:v>33.294262499999995</c:v>
                </c:pt>
                <c:pt idx="3">
                  <c:v>30.647950000000002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DA-4D6A-B235-59FE5ECD9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</c:scatterChart>
      <c:valAx>
        <c:axId val="1957850207"/>
        <c:scaling>
          <c:orientation val="minMax"/>
          <c:max val="3.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53461423"/>
        <c:crosses val="autoZero"/>
        <c:crossBetween val="midCat"/>
      </c:valAx>
      <c:valAx>
        <c:axId val="2053461423"/>
        <c:scaling>
          <c:orientation val="minMax"/>
          <c:max val="43"/>
          <c:min val="2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PSNR YUV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5785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11197231681375"/>
          <c:y val="0.3632487550723863"/>
          <c:w val="0.17157793597261894"/>
          <c:h val="0.340674535187930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FinalData!$B$30</c:f>
          <c:strCache>
            <c:ptCount val="1"/>
            <c:pt idx="0">
              <c:v>DinoSkull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FinalData!$A$36</c:f>
              <c:strCache>
                <c:ptCount val="1"/>
                <c:pt idx="0">
                  <c:v>G-PCC Octree + PredLift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FinalData!$B$36:$B$39</c:f>
              <c:numCache>
                <c:formatCode>General</c:formatCode>
                <c:ptCount val="4"/>
                <c:pt idx="0">
                  <c:v>9.9691896069508804E-2</c:v>
                </c:pt>
                <c:pt idx="1">
                  <c:v>0.32935235791348799</c:v>
                </c:pt>
                <c:pt idx="2">
                  <c:v>1.0985031486211501</c:v>
                </c:pt>
                <c:pt idx="3">
                  <c:v>3.2340238234692702</c:v>
                </c:pt>
              </c:numCache>
            </c:numRef>
          </c:xVal>
          <c:yVal>
            <c:numRef>
              <c:f>FinalData!$G$36:$G$39</c:f>
              <c:numCache>
                <c:formatCode>General</c:formatCode>
                <c:ptCount val="4"/>
                <c:pt idx="0">
                  <c:v>0.97403309999999999</c:v>
                </c:pt>
                <c:pt idx="1">
                  <c:v>0.98365460000000005</c:v>
                </c:pt>
                <c:pt idx="2">
                  <c:v>0.98793129999999996</c:v>
                </c:pt>
                <c:pt idx="3">
                  <c:v>0.99610403999999997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B0-407B-8FE4-906BD8CD7294}"/>
            </c:ext>
          </c:extLst>
        </c:ser>
        <c:ser>
          <c:idx val="4"/>
          <c:order val="1"/>
          <c:tx>
            <c:strRef>
              <c:f>FinalData!$A$40</c:f>
              <c:strCache>
                <c:ptCount val="1"/>
                <c:pt idx="0">
                  <c:v>V-PCC Intra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FinalData!$B$40:$B$43</c:f>
              <c:numCache>
                <c:formatCode>General</c:formatCode>
                <c:ptCount val="4"/>
                <c:pt idx="0">
                  <c:v>0.103798793230724</c:v>
                </c:pt>
                <c:pt idx="1">
                  <c:v>0.31067550660395898</c:v>
                </c:pt>
                <c:pt idx="2">
                  <c:v>1.02476614946333</c:v>
                </c:pt>
                <c:pt idx="3">
                  <c:v>2.8882820000069298</c:v>
                </c:pt>
              </c:numCache>
            </c:numRef>
          </c:xVal>
          <c:yVal>
            <c:numRef>
              <c:f>FinalData!$G$40:$G$43</c:f>
              <c:numCache>
                <c:formatCode>General</c:formatCode>
                <c:ptCount val="4"/>
                <c:pt idx="0">
                  <c:v>0.98736919999999995</c:v>
                </c:pt>
                <c:pt idx="1">
                  <c:v>0.99218311999999997</c:v>
                </c:pt>
                <c:pt idx="2">
                  <c:v>0.99586872000000004</c:v>
                </c:pt>
                <c:pt idx="3">
                  <c:v>0.99778120000000003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B0-407B-8FE4-906BD8CD7294}"/>
            </c:ext>
          </c:extLst>
        </c:ser>
        <c:ser>
          <c:idx val="2"/>
          <c:order val="2"/>
          <c:tx>
            <c:strRef>
              <c:f>FinalData!$A$32</c:f>
              <c:strCache>
                <c:ptCount val="1"/>
                <c:pt idx="0">
                  <c:v>IT-DL-PCC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FinalData!$B$32:$B$35</c:f>
              <c:numCache>
                <c:formatCode>General</c:formatCode>
                <c:ptCount val="4"/>
                <c:pt idx="0">
                  <c:v>1.94099</c:v>
                </c:pt>
                <c:pt idx="1">
                  <c:v>1.0716600000000001</c:v>
                </c:pt>
                <c:pt idx="2">
                  <c:v>0.31343799999999999</c:v>
                </c:pt>
                <c:pt idx="3">
                  <c:v>9.6049399999999993E-2</c:v>
                </c:pt>
              </c:numCache>
            </c:numRef>
          </c:xVal>
          <c:yVal>
            <c:numRef>
              <c:f>FinalData!$G$32:$G$35</c:f>
              <c:numCache>
                <c:formatCode>General</c:formatCode>
                <c:ptCount val="4"/>
                <c:pt idx="0">
                  <c:v>0.99594004999999997</c:v>
                </c:pt>
                <c:pt idx="1">
                  <c:v>0.99487641000000004</c:v>
                </c:pt>
                <c:pt idx="2">
                  <c:v>0.98961900000000003</c:v>
                </c:pt>
                <c:pt idx="3">
                  <c:v>0.98239960000000004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B0-407B-8FE4-906BD8CD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</c:scatterChart>
      <c:valAx>
        <c:axId val="1957850207"/>
        <c:scaling>
          <c:orientation val="minMax"/>
          <c:max val="3.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53461423"/>
        <c:crosses val="autoZero"/>
        <c:crossBetween val="midCat"/>
      </c:valAx>
      <c:valAx>
        <c:axId val="2053461423"/>
        <c:scaling>
          <c:orientation val="minMax"/>
          <c:max val="1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1 - PCQM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5785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16383552983316"/>
          <c:y val="0.32946710351476682"/>
          <c:w val="0.18181919592757129"/>
          <c:h val="0.358013687251549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24</xdr:row>
      <xdr:rowOff>0</xdr:rowOff>
    </xdr:from>
    <xdr:to>
      <xdr:col>22</xdr:col>
      <xdr:colOff>558131</xdr:colOff>
      <xdr:row>46</xdr:row>
      <xdr:rowOff>113715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4CA15E4-3E4C-4542-97E7-5B4BC1DD0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24</xdr:row>
      <xdr:rowOff>0</xdr:rowOff>
    </xdr:from>
    <xdr:to>
      <xdr:col>35</xdr:col>
      <xdr:colOff>561306</xdr:colOff>
      <xdr:row>46</xdr:row>
      <xdr:rowOff>113715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3220989B-9F69-4226-BEE6-EB101C647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24</xdr:row>
      <xdr:rowOff>0</xdr:rowOff>
    </xdr:from>
    <xdr:to>
      <xdr:col>48</xdr:col>
      <xdr:colOff>561307</xdr:colOff>
      <xdr:row>46</xdr:row>
      <xdr:rowOff>113715</xdr:rowOff>
    </xdr:to>
    <xdr:graphicFrame macro="">
      <xdr:nvGraphicFramePr>
        <xdr:cNvPr id="4" name="Chart3">
          <a:extLst>
            <a:ext uri="{FF2B5EF4-FFF2-40B4-BE49-F238E27FC236}">
              <a16:creationId xmlns:a16="http://schemas.microsoft.com/office/drawing/2014/main" id="{D5F62C1B-B9D5-459D-AD94-18710C683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0</xdr:colOff>
      <xdr:row>24</xdr:row>
      <xdr:rowOff>0</xdr:rowOff>
    </xdr:from>
    <xdr:to>
      <xdr:col>61</xdr:col>
      <xdr:colOff>561307</xdr:colOff>
      <xdr:row>46</xdr:row>
      <xdr:rowOff>113715</xdr:rowOff>
    </xdr:to>
    <xdr:graphicFrame macro="">
      <xdr:nvGraphicFramePr>
        <xdr:cNvPr id="5" name="Chart4">
          <a:extLst>
            <a:ext uri="{FF2B5EF4-FFF2-40B4-BE49-F238E27FC236}">
              <a16:creationId xmlns:a16="http://schemas.microsoft.com/office/drawing/2014/main" id="{3E223241-774C-483F-8E9D-6105EB2A6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24</xdr:row>
      <xdr:rowOff>0</xdr:rowOff>
    </xdr:from>
    <xdr:to>
      <xdr:col>74</xdr:col>
      <xdr:colOff>561307</xdr:colOff>
      <xdr:row>46</xdr:row>
      <xdr:rowOff>113715</xdr:rowOff>
    </xdr:to>
    <xdr:graphicFrame macro="">
      <xdr:nvGraphicFramePr>
        <xdr:cNvPr id="6" name="Chart5">
          <a:extLst>
            <a:ext uri="{FF2B5EF4-FFF2-40B4-BE49-F238E27FC236}">
              <a16:creationId xmlns:a16="http://schemas.microsoft.com/office/drawing/2014/main" id="{D28EB88A-7811-4C33-9CFF-5F4F50788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98D31-9275-401A-B983-3686F4FAEDEB}">
  <dimension ref="C2:E27"/>
  <sheetViews>
    <sheetView workbookViewId="0">
      <selection activeCell="D24" sqref="D24"/>
    </sheetView>
  </sheetViews>
  <sheetFormatPr defaultColWidth="8.90625" defaultRowHeight="14.5"/>
  <cols>
    <col min="3" max="3" width="19.453125" bestFit="1" customWidth="1"/>
    <col min="4" max="4" width="17" bestFit="1" customWidth="1"/>
  </cols>
  <sheetData>
    <row r="2" spans="3:5">
      <c r="C2" t="s">
        <v>76</v>
      </c>
      <c r="D2" t="s">
        <v>55</v>
      </c>
      <c r="E2" t="s">
        <v>17</v>
      </c>
    </row>
    <row r="3" spans="3:5">
      <c r="C3" t="s">
        <v>16</v>
      </c>
      <c r="D3" t="s">
        <v>56</v>
      </c>
      <c r="E3">
        <v>2308312</v>
      </c>
    </row>
    <row r="4" spans="3:5">
      <c r="C4" t="s">
        <v>18</v>
      </c>
      <c r="D4" t="s">
        <v>57</v>
      </c>
      <c r="E4">
        <v>2212435</v>
      </c>
    </row>
    <row r="5" spans="3:5">
      <c r="C5" t="s">
        <v>19</v>
      </c>
      <c r="D5" t="s">
        <v>58</v>
      </c>
      <c r="E5">
        <v>1563866</v>
      </c>
    </row>
    <row r="6" spans="3:5">
      <c r="C6" t="s">
        <v>20</v>
      </c>
      <c r="D6" t="s">
        <v>59</v>
      </c>
      <c r="E6">
        <v>1871158</v>
      </c>
    </row>
    <row r="7" spans="3:5">
      <c r="C7" t="s">
        <v>21</v>
      </c>
      <c r="D7" t="s">
        <v>60</v>
      </c>
      <c r="E7">
        <v>1880897</v>
      </c>
    </row>
    <row r="8" spans="3:5">
      <c r="C8" t="s">
        <v>22</v>
      </c>
      <c r="D8" t="s">
        <v>61</v>
      </c>
      <c r="E8">
        <v>3150249</v>
      </c>
    </row>
    <row r="9" spans="3:5">
      <c r="C9" t="s">
        <v>23</v>
      </c>
      <c r="D9" t="s">
        <v>62</v>
      </c>
      <c r="E9">
        <v>2350417</v>
      </c>
    </row>
    <row r="10" spans="3:5">
      <c r="C10" t="s">
        <v>24</v>
      </c>
      <c r="D10" t="s">
        <v>63</v>
      </c>
      <c r="E10">
        <v>835264</v>
      </c>
    </row>
    <row r="11" spans="3:5">
      <c r="C11" t="s">
        <v>25</v>
      </c>
      <c r="D11" t="s">
        <v>64</v>
      </c>
      <c r="E11">
        <v>4143911</v>
      </c>
    </row>
    <row r="12" spans="3:5">
      <c r="C12" t="s">
        <v>26</v>
      </c>
      <c r="D12" t="s">
        <v>65</v>
      </c>
      <c r="E12">
        <v>3402890</v>
      </c>
    </row>
    <row r="13" spans="3:5">
      <c r="C13" t="s">
        <v>27</v>
      </c>
      <c r="D13" t="s">
        <v>66</v>
      </c>
      <c r="E13">
        <v>3486192</v>
      </c>
    </row>
    <row r="14" spans="3:5">
      <c r="C14" t="s">
        <v>28</v>
      </c>
      <c r="D14" t="s">
        <v>67</v>
      </c>
      <c r="E14">
        <v>1859311</v>
      </c>
    </row>
    <row r="15" spans="3:5">
      <c r="C15" t="s">
        <v>29</v>
      </c>
      <c r="D15" t="s">
        <v>68</v>
      </c>
      <c r="E15">
        <v>1658288</v>
      </c>
    </row>
    <row r="16" spans="3:5">
      <c r="C16" t="s">
        <v>30</v>
      </c>
      <c r="D16" t="s">
        <v>69</v>
      </c>
      <c r="E16">
        <v>655412</v>
      </c>
    </row>
    <row r="17" spans="3:5">
      <c r="C17" t="s">
        <v>31</v>
      </c>
      <c r="D17" t="s">
        <v>70</v>
      </c>
      <c r="E17">
        <v>3839604</v>
      </c>
    </row>
    <row r="18" spans="3:5">
      <c r="C18" t="s">
        <v>32</v>
      </c>
      <c r="D18" t="s">
        <v>71</v>
      </c>
      <c r="E18">
        <v>813808</v>
      </c>
    </row>
    <row r="19" spans="3:5">
      <c r="C19" t="s">
        <v>33</v>
      </c>
      <c r="D19" t="s">
        <v>72</v>
      </c>
      <c r="E19">
        <v>2790723</v>
      </c>
    </row>
    <row r="20" spans="3:5">
      <c r="C20" t="s">
        <v>34</v>
      </c>
      <c r="D20" t="s">
        <v>73</v>
      </c>
      <c r="E20">
        <v>2404242</v>
      </c>
    </row>
    <row r="21" spans="3:5">
      <c r="C21" t="s">
        <v>35</v>
      </c>
      <c r="D21" t="s">
        <v>74</v>
      </c>
      <c r="E21">
        <v>291955</v>
      </c>
    </row>
    <row r="22" spans="3:5">
      <c r="C22" t="s">
        <v>36</v>
      </c>
      <c r="D22" t="s">
        <v>75</v>
      </c>
      <c r="E22">
        <v>663367</v>
      </c>
    </row>
    <row r="23" spans="3:5">
      <c r="C23" t="s">
        <v>79</v>
      </c>
      <c r="D23" t="s">
        <v>79</v>
      </c>
      <c r="E23">
        <v>764536</v>
      </c>
    </row>
    <row r="24" spans="3:5">
      <c r="C24" t="s">
        <v>80</v>
      </c>
      <c r="D24" t="s">
        <v>81</v>
      </c>
      <c r="E24">
        <v>238739</v>
      </c>
    </row>
    <row r="25" spans="3:5">
      <c r="C25" t="s">
        <v>82</v>
      </c>
      <c r="D25" t="s">
        <v>83</v>
      </c>
      <c r="E25">
        <v>308150</v>
      </c>
    </row>
    <row r="26" spans="3:5">
      <c r="C26" t="s">
        <v>84</v>
      </c>
      <c r="D26" t="s">
        <v>85</v>
      </c>
      <c r="E26">
        <v>661892</v>
      </c>
    </row>
    <row r="27" spans="3:5">
      <c r="C27" t="s">
        <v>86</v>
      </c>
      <c r="D27" t="s">
        <v>87</v>
      </c>
      <c r="E27">
        <v>492052</v>
      </c>
    </row>
  </sheetData>
  <sortState xmlns:xlrd2="http://schemas.microsoft.com/office/spreadsheetml/2017/richdata2" ref="O3:Q22">
    <sortCondition ref="Q3:Q22"/>
  </sortState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8546-F7C6-42B8-A399-C1F5F9EB2C69}">
  <dimension ref="A5:F30"/>
  <sheetViews>
    <sheetView workbookViewId="0">
      <selection activeCell="D34" sqref="D34"/>
    </sheetView>
  </sheetViews>
  <sheetFormatPr defaultColWidth="8.90625" defaultRowHeight="14.5"/>
  <cols>
    <col min="2" max="2" width="19.453125" bestFit="1" customWidth="1"/>
    <col min="3" max="3" width="30.453125" bestFit="1" customWidth="1"/>
    <col min="4" max="5" width="31.453125" bestFit="1" customWidth="1"/>
    <col min="6" max="6" width="30" bestFit="1" customWidth="1"/>
  </cols>
  <sheetData>
    <row r="5" spans="1:6">
      <c r="C5" t="s">
        <v>37</v>
      </c>
      <c r="D5" t="s">
        <v>38</v>
      </c>
      <c r="E5" t="s">
        <v>39</v>
      </c>
      <c r="F5" t="s">
        <v>40</v>
      </c>
    </row>
    <row r="6" spans="1:6">
      <c r="B6" t="s">
        <v>56</v>
      </c>
      <c r="C6" t="s">
        <v>94</v>
      </c>
      <c r="D6" t="s">
        <v>95</v>
      </c>
      <c r="E6" t="s">
        <v>96</v>
      </c>
      <c r="F6" t="s">
        <v>97</v>
      </c>
    </row>
    <row r="7" spans="1:6">
      <c r="B7" t="s">
        <v>57</v>
      </c>
      <c r="C7" t="s">
        <v>94</v>
      </c>
      <c r="D7" t="s">
        <v>95</v>
      </c>
      <c r="E7" t="s">
        <v>98</v>
      </c>
      <c r="F7" t="s">
        <v>97</v>
      </c>
    </row>
    <row r="8" spans="1:6">
      <c r="B8" t="s">
        <v>58</v>
      </c>
      <c r="C8" t="s">
        <v>99</v>
      </c>
      <c r="D8" t="s">
        <v>100</v>
      </c>
      <c r="E8" t="s">
        <v>98</v>
      </c>
      <c r="F8" t="s">
        <v>97</v>
      </c>
    </row>
    <row r="9" spans="1:6">
      <c r="B9" t="s">
        <v>59</v>
      </c>
      <c r="C9" t="s">
        <v>101</v>
      </c>
      <c r="D9" t="s">
        <v>102</v>
      </c>
      <c r="E9" t="s">
        <v>103</v>
      </c>
      <c r="F9" t="s">
        <v>97</v>
      </c>
    </row>
    <row r="10" spans="1:6">
      <c r="B10" t="s">
        <v>60</v>
      </c>
      <c r="C10" t="s">
        <v>104</v>
      </c>
      <c r="D10" t="s">
        <v>105</v>
      </c>
      <c r="E10" t="s">
        <v>103</v>
      </c>
      <c r="F10" t="s">
        <v>97</v>
      </c>
    </row>
    <row r="11" spans="1:6">
      <c r="A11" s="21"/>
      <c r="B11" t="s">
        <v>61</v>
      </c>
      <c r="C11" t="s">
        <v>106</v>
      </c>
      <c r="D11" t="s">
        <v>107</v>
      </c>
      <c r="E11" t="s">
        <v>108</v>
      </c>
      <c r="F11" t="s">
        <v>97</v>
      </c>
    </row>
    <row r="12" spans="1:6">
      <c r="A12" s="21"/>
      <c r="B12" t="s">
        <v>62</v>
      </c>
      <c r="C12" t="s">
        <v>99</v>
      </c>
      <c r="D12" t="s">
        <v>102</v>
      </c>
      <c r="E12" t="s">
        <v>103</v>
      </c>
      <c r="F12" t="s">
        <v>97</v>
      </c>
    </row>
    <row r="13" spans="1:6">
      <c r="A13" s="21"/>
      <c r="B13" t="s">
        <v>63</v>
      </c>
      <c r="C13" t="s">
        <v>94</v>
      </c>
      <c r="D13" t="s">
        <v>95</v>
      </c>
      <c r="E13" t="s">
        <v>96</v>
      </c>
      <c r="F13" t="s">
        <v>97</v>
      </c>
    </row>
    <row r="14" spans="1:6">
      <c r="A14" s="21"/>
      <c r="B14" t="s">
        <v>64</v>
      </c>
      <c r="C14" t="s">
        <v>109</v>
      </c>
      <c r="D14" t="s">
        <v>110</v>
      </c>
      <c r="E14" t="s">
        <v>108</v>
      </c>
      <c r="F14" t="s">
        <v>97</v>
      </c>
    </row>
    <row r="15" spans="1:6">
      <c r="A15" s="21"/>
      <c r="B15" t="s">
        <v>65</v>
      </c>
      <c r="C15" t="s">
        <v>94</v>
      </c>
      <c r="D15" t="s">
        <v>111</v>
      </c>
      <c r="E15" t="s">
        <v>112</v>
      </c>
      <c r="F15" t="s">
        <v>97</v>
      </c>
    </row>
    <row r="16" spans="1:6">
      <c r="A16" s="21"/>
      <c r="B16" t="s">
        <v>66</v>
      </c>
      <c r="C16" t="s">
        <v>94</v>
      </c>
      <c r="D16" t="s">
        <v>102</v>
      </c>
      <c r="E16" t="s">
        <v>103</v>
      </c>
      <c r="F16" t="s">
        <v>97</v>
      </c>
    </row>
    <row r="17" spans="1:6">
      <c r="A17" s="21"/>
      <c r="B17" t="s">
        <v>67</v>
      </c>
      <c r="C17" t="s">
        <v>99</v>
      </c>
      <c r="D17" t="s">
        <v>102</v>
      </c>
      <c r="E17" t="s">
        <v>103</v>
      </c>
      <c r="F17" t="s">
        <v>97</v>
      </c>
    </row>
    <row r="18" spans="1:6">
      <c r="A18" s="21"/>
      <c r="B18" t="s">
        <v>68</v>
      </c>
      <c r="C18" t="s">
        <v>113</v>
      </c>
      <c r="D18" t="s">
        <v>114</v>
      </c>
      <c r="E18" t="s">
        <v>115</v>
      </c>
      <c r="F18" t="s">
        <v>97</v>
      </c>
    </row>
    <row r="19" spans="1:6">
      <c r="A19" s="21"/>
      <c r="B19" t="s">
        <v>69</v>
      </c>
      <c r="C19" t="s">
        <v>99</v>
      </c>
      <c r="D19" t="s">
        <v>102</v>
      </c>
      <c r="E19" t="s">
        <v>103</v>
      </c>
      <c r="F19" t="s">
        <v>97</v>
      </c>
    </row>
    <row r="20" spans="1:6">
      <c r="A20" s="21"/>
      <c r="B20" t="s">
        <v>70</v>
      </c>
      <c r="C20" t="s">
        <v>116</v>
      </c>
      <c r="D20" t="s">
        <v>95</v>
      </c>
      <c r="E20" t="s">
        <v>117</v>
      </c>
      <c r="F20" t="s">
        <v>97</v>
      </c>
    </row>
    <row r="21" spans="1:6">
      <c r="A21" s="21"/>
      <c r="B21" t="s">
        <v>71</v>
      </c>
      <c r="C21" t="s">
        <v>104</v>
      </c>
      <c r="D21" t="s">
        <v>118</v>
      </c>
      <c r="E21" t="s">
        <v>98</v>
      </c>
      <c r="F21" t="s">
        <v>97</v>
      </c>
    </row>
    <row r="22" spans="1:6">
      <c r="A22" s="21"/>
      <c r="B22" t="s">
        <v>72</v>
      </c>
      <c r="C22" t="s">
        <v>119</v>
      </c>
      <c r="D22" t="s">
        <v>102</v>
      </c>
      <c r="E22" t="s">
        <v>103</v>
      </c>
      <c r="F22" t="s">
        <v>97</v>
      </c>
    </row>
    <row r="23" spans="1:6">
      <c r="A23" s="21"/>
      <c r="B23" t="s">
        <v>73</v>
      </c>
      <c r="C23" t="s">
        <v>120</v>
      </c>
      <c r="D23" t="s">
        <v>95</v>
      </c>
      <c r="E23" t="s">
        <v>98</v>
      </c>
      <c r="F23" t="s">
        <v>97</v>
      </c>
    </row>
    <row r="24" spans="1:6">
      <c r="A24" s="21"/>
      <c r="B24" t="s">
        <v>74</v>
      </c>
      <c r="C24" t="s">
        <v>121</v>
      </c>
      <c r="D24" t="s">
        <v>102</v>
      </c>
      <c r="E24" t="s">
        <v>122</v>
      </c>
      <c r="F24" t="s">
        <v>97</v>
      </c>
    </row>
    <row r="25" spans="1:6">
      <c r="A25" s="21"/>
      <c r="B25" t="s">
        <v>75</v>
      </c>
      <c r="C25" t="s">
        <v>94</v>
      </c>
      <c r="D25" t="s">
        <v>95</v>
      </c>
      <c r="E25" t="s">
        <v>96</v>
      </c>
      <c r="F25" t="s">
        <v>97</v>
      </c>
    </row>
    <row r="26" spans="1:6">
      <c r="B26" t="s">
        <v>79</v>
      </c>
      <c r="C26" t="s">
        <v>123</v>
      </c>
      <c r="D26" t="s">
        <v>110</v>
      </c>
      <c r="E26" t="s">
        <v>124</v>
      </c>
      <c r="F26" t="s">
        <v>125</v>
      </c>
    </row>
    <row r="27" spans="1:6">
      <c r="B27" t="s">
        <v>81</v>
      </c>
      <c r="C27" t="s">
        <v>126</v>
      </c>
      <c r="D27" t="s">
        <v>127</v>
      </c>
      <c r="E27" t="s">
        <v>128</v>
      </c>
      <c r="F27" t="s">
        <v>114</v>
      </c>
    </row>
    <row r="28" spans="1:6">
      <c r="B28" t="s">
        <v>83</v>
      </c>
      <c r="C28" t="s">
        <v>129</v>
      </c>
      <c r="D28" t="s">
        <v>130</v>
      </c>
      <c r="E28" t="s">
        <v>131</v>
      </c>
      <c r="F28" t="s">
        <v>114</v>
      </c>
    </row>
    <row r="29" spans="1:6">
      <c r="B29" t="s">
        <v>85</v>
      </c>
      <c r="C29" t="s">
        <v>132</v>
      </c>
      <c r="D29" t="s">
        <v>110</v>
      </c>
      <c r="E29" t="s">
        <v>133</v>
      </c>
      <c r="F29" t="s">
        <v>125</v>
      </c>
    </row>
    <row r="30" spans="1:6">
      <c r="B30" t="s">
        <v>87</v>
      </c>
      <c r="C30" t="s">
        <v>134</v>
      </c>
      <c r="D30" t="s">
        <v>94</v>
      </c>
      <c r="E30" t="s">
        <v>135</v>
      </c>
      <c r="F30" t="s">
        <v>125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CD047-75A0-4AB8-BCE0-397EC2921135}">
  <dimension ref="A1:EU134"/>
  <sheetViews>
    <sheetView tabSelected="1" topLeftCell="A22" zoomScaleNormal="100" workbookViewId="0">
      <selection activeCell="I63" sqref="I63"/>
    </sheetView>
  </sheetViews>
  <sheetFormatPr defaultColWidth="8.90625" defaultRowHeight="14.5"/>
  <cols>
    <col min="1" max="1" width="20.36328125" bestFit="1" customWidth="1"/>
    <col min="3" max="7" width="8.90625" customWidth="1"/>
    <col min="9" max="10" width="8.90625" customWidth="1"/>
    <col min="11" max="11" width="16.6328125" bestFit="1" customWidth="1"/>
    <col min="12" max="13" width="8.90625" customWidth="1"/>
    <col min="15" max="19" width="8.90625" customWidth="1"/>
    <col min="21" max="25" width="8.90625" customWidth="1"/>
    <col min="27" max="31" width="8.90625" customWidth="1"/>
    <col min="33" max="37" width="8.90625" customWidth="1"/>
    <col min="39" max="43" width="8.90625" customWidth="1"/>
    <col min="45" max="49" width="8.90625" customWidth="1"/>
    <col min="51" max="55" width="8.90625" customWidth="1"/>
    <col min="57" max="61" width="8.90625" customWidth="1"/>
    <col min="63" max="67" width="8.90625" customWidth="1"/>
    <col min="69" max="73" width="8.90625" customWidth="1"/>
    <col min="75" max="79" width="8.90625" customWidth="1"/>
    <col min="81" max="85" width="8.90625" customWidth="1"/>
    <col min="87" max="91" width="8.90625" customWidth="1"/>
    <col min="93" max="97" width="8.90625" customWidth="1"/>
    <col min="99" max="103" width="8.90625" customWidth="1"/>
    <col min="105" max="109" width="8.90625" customWidth="1"/>
    <col min="111" max="115" width="8.90625" customWidth="1"/>
    <col min="117" max="123" width="8.90625" customWidth="1"/>
  </cols>
  <sheetData>
    <row r="1" spans="1:151">
      <c r="B1" s="38" t="s">
        <v>56</v>
      </c>
      <c r="C1" s="39"/>
      <c r="D1" s="39"/>
      <c r="E1" s="39"/>
      <c r="F1" s="39"/>
      <c r="G1" s="40"/>
      <c r="H1" s="38" t="s">
        <v>57</v>
      </c>
      <c r="I1" s="39"/>
      <c r="J1" s="39"/>
      <c r="K1" s="39"/>
      <c r="L1" s="39"/>
      <c r="M1" s="40"/>
      <c r="N1" s="38" t="s">
        <v>58</v>
      </c>
      <c r="O1" s="39"/>
      <c r="P1" s="39"/>
      <c r="Q1" s="39"/>
      <c r="R1" s="39"/>
      <c r="S1" s="40"/>
      <c r="T1" s="38" t="s">
        <v>59</v>
      </c>
      <c r="U1" s="39"/>
      <c r="V1" s="39"/>
      <c r="W1" s="39"/>
      <c r="X1" s="39"/>
      <c r="Y1" s="40"/>
      <c r="Z1" s="38" t="s">
        <v>60</v>
      </c>
      <c r="AA1" s="39"/>
      <c r="AB1" s="39"/>
      <c r="AC1" s="39"/>
      <c r="AD1" s="39"/>
      <c r="AE1" s="40"/>
      <c r="AF1" s="38" t="s">
        <v>61</v>
      </c>
      <c r="AG1" s="39"/>
      <c r="AH1" s="39"/>
      <c r="AI1" s="39"/>
      <c r="AJ1" s="39"/>
      <c r="AK1" s="40"/>
      <c r="AL1" s="38" t="s">
        <v>62</v>
      </c>
      <c r="AM1" s="39"/>
      <c r="AN1" s="39"/>
      <c r="AO1" s="39"/>
      <c r="AP1" s="39"/>
      <c r="AQ1" s="40"/>
      <c r="AR1" s="38" t="s">
        <v>63</v>
      </c>
      <c r="AS1" s="39"/>
      <c r="AT1" s="39"/>
      <c r="AU1" s="39"/>
      <c r="AV1" s="39"/>
      <c r="AW1" s="40"/>
      <c r="AX1" s="38" t="s">
        <v>64</v>
      </c>
      <c r="AY1" s="39"/>
      <c r="AZ1" s="39"/>
      <c r="BA1" s="39"/>
      <c r="BB1" s="39"/>
      <c r="BC1" s="40"/>
      <c r="BD1" s="38" t="s">
        <v>65</v>
      </c>
      <c r="BE1" s="39"/>
      <c r="BF1" s="39"/>
      <c r="BG1" s="39"/>
      <c r="BH1" s="39"/>
      <c r="BI1" s="40"/>
      <c r="BJ1" s="38" t="s">
        <v>66</v>
      </c>
      <c r="BK1" s="39"/>
      <c r="BL1" s="39"/>
      <c r="BM1" s="39"/>
      <c r="BN1" s="39"/>
      <c r="BO1" s="40"/>
      <c r="BP1" s="38" t="s">
        <v>67</v>
      </c>
      <c r="BQ1" s="39"/>
      <c r="BR1" s="39"/>
      <c r="BS1" s="39"/>
      <c r="BT1" s="39"/>
      <c r="BU1" s="40"/>
      <c r="BV1" s="38" t="s">
        <v>68</v>
      </c>
      <c r="BW1" s="39"/>
      <c r="BX1" s="39"/>
      <c r="BY1" s="39"/>
      <c r="BZ1" s="39"/>
      <c r="CA1" s="40"/>
      <c r="CB1" s="38" t="s">
        <v>69</v>
      </c>
      <c r="CC1" s="39"/>
      <c r="CD1" s="39"/>
      <c r="CE1" s="39"/>
      <c r="CF1" s="39"/>
      <c r="CG1" s="40"/>
      <c r="CH1" s="38" t="s">
        <v>70</v>
      </c>
      <c r="CI1" s="39"/>
      <c r="CJ1" s="39"/>
      <c r="CK1" s="39"/>
      <c r="CL1" s="39"/>
      <c r="CM1" s="40"/>
      <c r="CN1" s="38" t="s">
        <v>71</v>
      </c>
      <c r="CO1" s="39"/>
      <c r="CP1" s="39"/>
      <c r="CQ1" s="39"/>
      <c r="CR1" s="39"/>
      <c r="CS1" s="40"/>
      <c r="CT1" s="38" t="s">
        <v>72</v>
      </c>
      <c r="CU1" s="39"/>
      <c r="CV1" s="39"/>
      <c r="CW1" s="39"/>
      <c r="CX1" s="39"/>
      <c r="CY1" s="40"/>
      <c r="CZ1" s="38" t="s">
        <v>73</v>
      </c>
      <c r="DA1" s="39"/>
      <c r="DB1" s="39"/>
      <c r="DC1" s="39"/>
      <c r="DD1" s="39"/>
      <c r="DE1" s="40"/>
      <c r="DF1" s="38" t="s">
        <v>74</v>
      </c>
      <c r="DG1" s="39"/>
      <c r="DH1" s="39"/>
      <c r="DI1" s="39"/>
      <c r="DJ1" s="39"/>
      <c r="DK1" s="40"/>
      <c r="DL1" s="38" t="s">
        <v>75</v>
      </c>
      <c r="DM1" s="39"/>
      <c r="DN1" s="39"/>
      <c r="DO1" s="39"/>
      <c r="DP1" s="39"/>
      <c r="DQ1" s="40"/>
      <c r="DR1" s="38" t="s">
        <v>79</v>
      </c>
      <c r="DS1" s="39"/>
      <c r="DT1" s="39"/>
      <c r="DU1" s="39"/>
      <c r="DV1" s="39"/>
      <c r="DW1" s="40"/>
      <c r="DX1" s="38" t="s">
        <v>81</v>
      </c>
      <c r="DY1" s="39"/>
      <c r="DZ1" s="39"/>
      <c r="EA1" s="39"/>
      <c r="EB1" s="39"/>
      <c r="EC1" s="40"/>
      <c r="ED1" s="38" t="s">
        <v>83</v>
      </c>
      <c r="EE1" s="39"/>
      <c r="EF1" s="39"/>
      <c r="EG1" s="39"/>
      <c r="EH1" s="39"/>
      <c r="EI1" s="40"/>
      <c r="EJ1" s="38" t="s">
        <v>85</v>
      </c>
      <c r="EK1" s="39"/>
      <c r="EL1" s="39"/>
      <c r="EM1" s="39"/>
      <c r="EN1" s="39"/>
      <c r="EO1" s="40"/>
      <c r="EP1" s="38" t="s">
        <v>87</v>
      </c>
      <c r="EQ1" s="39"/>
      <c r="ER1" s="39"/>
      <c r="ES1" s="39"/>
      <c r="ET1" s="39"/>
      <c r="EU1" s="40"/>
    </row>
    <row r="2" spans="1:151">
      <c r="B2" s="7" t="s">
        <v>13</v>
      </c>
      <c r="C2" t="s">
        <v>14</v>
      </c>
      <c r="D2" t="s">
        <v>15</v>
      </c>
      <c r="E2" t="s">
        <v>48</v>
      </c>
      <c r="F2" t="s">
        <v>49</v>
      </c>
      <c r="G2" s="4" t="s">
        <v>47</v>
      </c>
      <c r="H2" s="7" t="s">
        <v>13</v>
      </c>
      <c r="I2" t="s">
        <v>14</v>
      </c>
      <c r="J2" t="s">
        <v>15</v>
      </c>
      <c r="K2" t="s">
        <v>48</v>
      </c>
      <c r="L2" t="s">
        <v>49</v>
      </c>
      <c r="M2" s="4" t="s">
        <v>47</v>
      </c>
      <c r="N2" s="7" t="s">
        <v>13</v>
      </c>
      <c r="O2" t="s">
        <v>14</v>
      </c>
      <c r="P2" t="s">
        <v>15</v>
      </c>
      <c r="Q2" t="s">
        <v>48</v>
      </c>
      <c r="R2" t="s">
        <v>49</v>
      </c>
      <c r="S2" s="4" t="s">
        <v>47</v>
      </c>
      <c r="T2" s="7" t="s">
        <v>13</v>
      </c>
      <c r="U2" t="s">
        <v>14</v>
      </c>
      <c r="V2" t="s">
        <v>15</v>
      </c>
      <c r="W2" t="s">
        <v>48</v>
      </c>
      <c r="X2" t="s">
        <v>49</v>
      </c>
      <c r="Y2" s="4" t="s">
        <v>47</v>
      </c>
      <c r="Z2" s="7" t="s">
        <v>13</v>
      </c>
      <c r="AA2" t="s">
        <v>14</v>
      </c>
      <c r="AB2" t="s">
        <v>15</v>
      </c>
      <c r="AC2" t="s">
        <v>48</v>
      </c>
      <c r="AD2" t="s">
        <v>49</v>
      </c>
      <c r="AE2" s="4" t="s">
        <v>47</v>
      </c>
      <c r="AF2" s="7" t="s">
        <v>13</v>
      </c>
      <c r="AG2" t="s">
        <v>14</v>
      </c>
      <c r="AH2" t="s">
        <v>15</v>
      </c>
      <c r="AI2" t="s">
        <v>48</v>
      </c>
      <c r="AJ2" t="s">
        <v>49</v>
      </c>
      <c r="AK2" s="4" t="s">
        <v>47</v>
      </c>
      <c r="AL2" s="7" t="s">
        <v>13</v>
      </c>
      <c r="AM2" t="s">
        <v>14</v>
      </c>
      <c r="AN2" t="s">
        <v>15</v>
      </c>
      <c r="AO2" t="s">
        <v>48</v>
      </c>
      <c r="AP2" t="s">
        <v>49</v>
      </c>
      <c r="AQ2" s="4" t="s">
        <v>47</v>
      </c>
      <c r="AR2" s="7" t="s">
        <v>13</v>
      </c>
      <c r="AS2" t="s">
        <v>14</v>
      </c>
      <c r="AT2" t="s">
        <v>15</v>
      </c>
      <c r="AU2" t="s">
        <v>48</v>
      </c>
      <c r="AV2" t="s">
        <v>49</v>
      </c>
      <c r="AW2" s="4" t="s">
        <v>47</v>
      </c>
      <c r="AX2" s="7" t="s">
        <v>13</v>
      </c>
      <c r="AY2" t="s">
        <v>14</v>
      </c>
      <c r="AZ2" t="s">
        <v>15</v>
      </c>
      <c r="BA2" t="s">
        <v>48</v>
      </c>
      <c r="BB2" t="s">
        <v>49</v>
      </c>
      <c r="BC2" s="4" t="s">
        <v>47</v>
      </c>
      <c r="BD2" s="7" t="s">
        <v>13</v>
      </c>
      <c r="BE2" t="s">
        <v>14</v>
      </c>
      <c r="BF2" t="s">
        <v>15</v>
      </c>
      <c r="BG2" t="s">
        <v>48</v>
      </c>
      <c r="BH2" t="s">
        <v>49</v>
      </c>
      <c r="BI2" s="4" t="s">
        <v>47</v>
      </c>
      <c r="BJ2" s="7" t="s">
        <v>13</v>
      </c>
      <c r="BK2" t="s">
        <v>14</v>
      </c>
      <c r="BL2" t="s">
        <v>15</v>
      </c>
      <c r="BM2" t="s">
        <v>48</v>
      </c>
      <c r="BN2" t="s">
        <v>49</v>
      </c>
      <c r="BO2" s="4" t="s">
        <v>47</v>
      </c>
      <c r="BP2" s="7" t="s">
        <v>13</v>
      </c>
      <c r="BQ2" t="s">
        <v>14</v>
      </c>
      <c r="BR2" t="s">
        <v>15</v>
      </c>
      <c r="BS2" t="s">
        <v>48</v>
      </c>
      <c r="BT2" t="s">
        <v>49</v>
      </c>
      <c r="BU2" s="4" t="s">
        <v>47</v>
      </c>
      <c r="BV2" s="7" t="s">
        <v>13</v>
      </c>
      <c r="BW2" t="s">
        <v>14</v>
      </c>
      <c r="BX2" t="s">
        <v>15</v>
      </c>
      <c r="BY2" t="s">
        <v>48</v>
      </c>
      <c r="BZ2" t="s">
        <v>49</v>
      </c>
      <c r="CA2" s="4" t="s">
        <v>47</v>
      </c>
      <c r="CB2" s="7" t="s">
        <v>13</v>
      </c>
      <c r="CC2" t="s">
        <v>14</v>
      </c>
      <c r="CD2" t="s">
        <v>15</v>
      </c>
      <c r="CE2" t="s">
        <v>48</v>
      </c>
      <c r="CF2" t="s">
        <v>49</v>
      </c>
      <c r="CG2" s="4" t="s">
        <v>47</v>
      </c>
      <c r="CH2" s="7" t="s">
        <v>13</v>
      </c>
      <c r="CI2" t="s">
        <v>14</v>
      </c>
      <c r="CJ2" t="s">
        <v>15</v>
      </c>
      <c r="CK2" t="s">
        <v>48</v>
      </c>
      <c r="CL2" t="s">
        <v>49</v>
      </c>
      <c r="CM2" s="4" t="s">
        <v>47</v>
      </c>
      <c r="CN2" s="7" t="s">
        <v>13</v>
      </c>
      <c r="CO2" t="s">
        <v>14</v>
      </c>
      <c r="CP2" t="s">
        <v>15</v>
      </c>
      <c r="CQ2" t="s">
        <v>48</v>
      </c>
      <c r="CR2" t="s">
        <v>49</v>
      </c>
      <c r="CS2" s="4" t="s">
        <v>47</v>
      </c>
      <c r="CT2" s="7" t="s">
        <v>13</v>
      </c>
      <c r="CU2" t="s">
        <v>14</v>
      </c>
      <c r="CV2" t="s">
        <v>15</v>
      </c>
      <c r="CW2" t="s">
        <v>48</v>
      </c>
      <c r="CX2" t="s">
        <v>49</v>
      </c>
      <c r="CY2" s="4" t="s">
        <v>47</v>
      </c>
      <c r="CZ2" s="7" t="s">
        <v>13</v>
      </c>
      <c r="DA2" t="s">
        <v>14</v>
      </c>
      <c r="DB2" t="s">
        <v>15</v>
      </c>
      <c r="DC2" t="s">
        <v>48</v>
      </c>
      <c r="DD2" t="s">
        <v>49</v>
      </c>
      <c r="DE2" s="4" t="s">
        <v>47</v>
      </c>
      <c r="DF2" s="7" t="s">
        <v>13</v>
      </c>
      <c r="DG2" t="s">
        <v>14</v>
      </c>
      <c r="DH2" t="s">
        <v>15</v>
      </c>
      <c r="DI2" t="s">
        <v>48</v>
      </c>
      <c r="DJ2" t="s">
        <v>49</v>
      </c>
      <c r="DK2" s="4" t="s">
        <v>47</v>
      </c>
      <c r="DL2" s="7" t="s">
        <v>13</v>
      </c>
      <c r="DM2" t="s">
        <v>14</v>
      </c>
      <c r="DN2" t="s">
        <v>15</v>
      </c>
      <c r="DO2" t="s">
        <v>48</v>
      </c>
      <c r="DP2" t="s">
        <v>49</v>
      </c>
      <c r="DQ2" s="4" t="s">
        <v>47</v>
      </c>
      <c r="DR2" s="7" t="s">
        <v>13</v>
      </c>
      <c r="DS2" t="s">
        <v>14</v>
      </c>
      <c r="DT2" t="s">
        <v>15</v>
      </c>
      <c r="DU2" t="s">
        <v>48</v>
      </c>
      <c r="DV2" t="s">
        <v>49</v>
      </c>
      <c r="DW2" s="4" t="s">
        <v>47</v>
      </c>
      <c r="DX2" s="7" t="s">
        <v>13</v>
      </c>
      <c r="DY2" t="s">
        <v>14</v>
      </c>
      <c r="DZ2" t="s">
        <v>15</v>
      </c>
      <c r="EA2" t="s">
        <v>48</v>
      </c>
      <c r="EB2" t="s">
        <v>49</v>
      </c>
      <c r="EC2" s="4" t="s">
        <v>47</v>
      </c>
      <c r="ED2" s="7" t="s">
        <v>13</v>
      </c>
      <c r="EE2" t="s">
        <v>14</v>
      </c>
      <c r="EF2" t="s">
        <v>15</v>
      </c>
      <c r="EG2" t="s">
        <v>48</v>
      </c>
      <c r="EH2" t="s">
        <v>49</v>
      </c>
      <c r="EI2" s="4" t="s">
        <v>47</v>
      </c>
      <c r="EJ2" s="7" t="s">
        <v>13</v>
      </c>
      <c r="EK2" t="s">
        <v>14</v>
      </c>
      <c r="EL2" t="s">
        <v>15</v>
      </c>
      <c r="EM2" t="s">
        <v>48</v>
      </c>
      <c r="EN2" t="s">
        <v>49</v>
      </c>
      <c r="EO2" s="4" t="s">
        <v>47</v>
      </c>
      <c r="EP2" s="7" t="s">
        <v>13</v>
      </c>
      <c r="EQ2" t="s">
        <v>14</v>
      </c>
      <c r="ER2" t="s">
        <v>15</v>
      </c>
      <c r="ES2" t="s">
        <v>48</v>
      </c>
      <c r="ET2" t="s">
        <v>49</v>
      </c>
      <c r="EU2" s="4" t="s">
        <v>47</v>
      </c>
    </row>
    <row r="3" spans="1:151">
      <c r="A3" s="45" t="s">
        <v>89</v>
      </c>
      <c r="B3" s="8">
        <v>1.94099</v>
      </c>
      <c r="C3" s="2">
        <v>74.031499999999994</v>
      </c>
      <c r="D3" s="2">
        <v>78.2303</v>
      </c>
      <c r="E3" s="2">
        <v>35.075200000000002</v>
      </c>
      <c r="F3" s="2">
        <v>37.367150000000002</v>
      </c>
      <c r="G3" s="3">
        <v>0.99594004999999997</v>
      </c>
      <c r="H3" s="8">
        <v>1.72224</v>
      </c>
      <c r="I3" s="2">
        <v>75.837500000000006</v>
      </c>
      <c r="J3" s="2">
        <v>80.297899999999998</v>
      </c>
      <c r="K3" s="2">
        <v>36.482300000000002</v>
      </c>
      <c r="L3" s="2">
        <v>39.124825000000001</v>
      </c>
      <c r="M3" s="3">
        <v>0.99609477999999996</v>
      </c>
      <c r="N3" s="8">
        <v>2.1701999999999999</v>
      </c>
      <c r="O3" s="2">
        <v>75.913600000000002</v>
      </c>
      <c r="P3" s="2">
        <v>80.079300000000003</v>
      </c>
      <c r="Q3" s="2">
        <v>30.910599999999999</v>
      </c>
      <c r="R3" s="2">
        <v>33.783849999999994</v>
      </c>
      <c r="S3" s="3">
        <v>0.99558437</v>
      </c>
      <c r="T3" s="8">
        <v>2.4582799999999998</v>
      </c>
      <c r="U3" s="2">
        <v>73.899699999999996</v>
      </c>
      <c r="V3" s="2">
        <v>78.077399999999997</v>
      </c>
      <c r="W3" s="2">
        <v>28.276599999999998</v>
      </c>
      <c r="X3" s="2">
        <v>30.815037499999995</v>
      </c>
      <c r="Y3" s="3">
        <v>0.99442752999999995</v>
      </c>
      <c r="Z3" s="8">
        <v>2.1982499999999998</v>
      </c>
      <c r="AA3" s="2">
        <v>75.975999999999999</v>
      </c>
      <c r="AB3" s="2">
        <v>80.068299999999994</v>
      </c>
      <c r="AC3" s="2">
        <v>29.988700000000001</v>
      </c>
      <c r="AD3" s="2">
        <v>33.786812500000003</v>
      </c>
      <c r="AE3" s="3">
        <v>0.99474229999999997</v>
      </c>
      <c r="AF3" s="8">
        <v>2.9688300000000001</v>
      </c>
      <c r="AG3" s="2">
        <v>71.210099999999997</v>
      </c>
      <c r="AH3" s="2">
        <v>75.350300000000004</v>
      </c>
      <c r="AI3" s="2">
        <v>26.073899999999998</v>
      </c>
      <c r="AJ3" s="2">
        <v>27.274437500000001</v>
      </c>
      <c r="AK3" s="3">
        <v>0.98975950000000001</v>
      </c>
      <c r="AL3" s="8">
        <v>2.7204999999999999</v>
      </c>
      <c r="AM3" s="2">
        <v>75.2834</v>
      </c>
      <c r="AN3" s="2">
        <v>79.885199999999998</v>
      </c>
      <c r="AO3" s="2">
        <v>27.7118</v>
      </c>
      <c r="AP3" s="2">
        <v>30.052037500000001</v>
      </c>
      <c r="AQ3" s="3">
        <v>0.99208872000000003</v>
      </c>
      <c r="AR3" s="8">
        <v>2.0604399999999998</v>
      </c>
      <c r="AS3" s="2">
        <v>76.808000000000007</v>
      </c>
      <c r="AT3" s="2">
        <v>81.229600000000005</v>
      </c>
      <c r="AU3" s="2">
        <v>28.783000000000001</v>
      </c>
      <c r="AV3" s="2">
        <v>31.847012500000002</v>
      </c>
      <c r="AW3" s="3">
        <v>0.99365391000000003</v>
      </c>
      <c r="AX3" s="8">
        <v>2.9845899999999999</v>
      </c>
      <c r="AY3" s="2">
        <v>72.412700000000001</v>
      </c>
      <c r="AZ3" s="2">
        <v>77.836699999999993</v>
      </c>
      <c r="BA3" s="2">
        <v>31.165099999999999</v>
      </c>
      <c r="BB3" s="2">
        <v>32.651175000000002</v>
      </c>
      <c r="BC3" s="3">
        <v>0.99374342999999998</v>
      </c>
      <c r="BD3" s="8">
        <v>2.0813999999999999</v>
      </c>
      <c r="BE3" s="2">
        <v>74.080799999999996</v>
      </c>
      <c r="BF3" s="2">
        <v>78.038399999999996</v>
      </c>
      <c r="BG3" s="2">
        <v>31.851800000000001</v>
      </c>
      <c r="BH3" s="2">
        <v>35.258650000000003</v>
      </c>
      <c r="BI3" s="3">
        <v>0.99548769000000004</v>
      </c>
      <c r="BJ3" s="8">
        <v>2.4893000000000001</v>
      </c>
      <c r="BK3" s="2">
        <v>74.812600000000003</v>
      </c>
      <c r="BL3" s="2">
        <v>79.153400000000005</v>
      </c>
      <c r="BM3" s="2">
        <v>30.178000000000001</v>
      </c>
      <c r="BN3" s="2">
        <v>32.039974999999998</v>
      </c>
      <c r="BO3" s="3">
        <v>0.99263869000000005</v>
      </c>
      <c r="BP3" s="8">
        <v>2.3767299999999998</v>
      </c>
      <c r="BQ3" s="2">
        <v>73.875399999999999</v>
      </c>
      <c r="BR3" s="2">
        <v>77.884500000000003</v>
      </c>
      <c r="BS3" s="2">
        <v>28.527999999999999</v>
      </c>
      <c r="BT3" s="2">
        <v>29.999725000000002</v>
      </c>
      <c r="BU3" s="3">
        <v>0.99363858999999999</v>
      </c>
      <c r="BV3" s="8">
        <v>1.5591699999999999</v>
      </c>
      <c r="BW3" s="2">
        <v>77.244699999999995</v>
      </c>
      <c r="BX3" s="2">
        <v>81.661299999999997</v>
      </c>
      <c r="BY3" s="2">
        <v>38.388100000000001</v>
      </c>
      <c r="BZ3" s="2">
        <v>40.560275000000004</v>
      </c>
      <c r="CA3" s="3">
        <v>0.99594514000000001</v>
      </c>
      <c r="CB3" s="8">
        <v>2.4559899999999999</v>
      </c>
      <c r="CC3" s="2">
        <v>74.777799999999999</v>
      </c>
      <c r="CD3" s="2">
        <v>79.214100000000002</v>
      </c>
      <c r="CE3" s="2">
        <v>30.3703</v>
      </c>
      <c r="CF3" s="2">
        <v>31.9201625</v>
      </c>
      <c r="CG3" s="3">
        <v>0.99596498</v>
      </c>
      <c r="CH3" s="8">
        <v>2.3170000000000002</v>
      </c>
      <c r="CI3" s="2">
        <v>74.468900000000005</v>
      </c>
      <c r="CJ3" s="2">
        <v>80.257900000000006</v>
      </c>
      <c r="CK3" s="2">
        <v>34.369799999999998</v>
      </c>
      <c r="CL3" s="2">
        <v>34.822724999999998</v>
      </c>
      <c r="CM3" s="3">
        <v>0.99448382000000002</v>
      </c>
      <c r="CN3" s="8">
        <v>1.82626</v>
      </c>
      <c r="CO3" s="2">
        <v>77.068200000000004</v>
      </c>
      <c r="CP3" s="2">
        <v>81.47</v>
      </c>
      <c r="CQ3" s="2">
        <v>31.8826</v>
      </c>
      <c r="CR3" s="2">
        <v>33.293500000000002</v>
      </c>
      <c r="CS3" s="3">
        <v>0.99446701999999998</v>
      </c>
      <c r="CT3" s="8">
        <v>2.6337899999999999</v>
      </c>
      <c r="CU3" s="2">
        <v>73.720699999999994</v>
      </c>
      <c r="CV3" s="2">
        <v>78.448499999999996</v>
      </c>
      <c r="CW3" s="2">
        <v>30.088799999999999</v>
      </c>
      <c r="CX3" s="2">
        <v>31.295212500000002</v>
      </c>
      <c r="CY3" s="3">
        <v>0.99213845000000001</v>
      </c>
      <c r="CZ3" s="8">
        <v>1.8481300000000001</v>
      </c>
      <c r="DA3" s="2">
        <v>74.594099999999997</v>
      </c>
      <c r="DB3" s="2">
        <v>78.917299999999997</v>
      </c>
      <c r="DC3" s="2">
        <v>38.073999999999998</v>
      </c>
      <c r="DD3" s="2">
        <v>40.490162499999997</v>
      </c>
      <c r="DE3" s="3">
        <v>0.99546836000000005</v>
      </c>
      <c r="DF3" s="8">
        <v>2.4183500000000002</v>
      </c>
      <c r="DG3" s="2">
        <v>74.888300000000001</v>
      </c>
      <c r="DH3" s="2">
        <v>79.087800000000001</v>
      </c>
      <c r="DI3" s="2">
        <v>29.6844</v>
      </c>
      <c r="DJ3" s="2">
        <v>31.726225000000003</v>
      </c>
      <c r="DK3" s="3">
        <v>0.99717831999999995</v>
      </c>
      <c r="DL3" s="8">
        <v>2.05518</v>
      </c>
      <c r="DM3" s="2">
        <v>77.925299999999993</v>
      </c>
      <c r="DN3" s="2">
        <v>82.068600000000004</v>
      </c>
      <c r="DO3" s="2">
        <v>34.754300000000001</v>
      </c>
      <c r="DP3" s="2">
        <v>35.974337500000004</v>
      </c>
      <c r="DQ3" s="3">
        <v>0.99420178999999997</v>
      </c>
      <c r="DR3" s="8">
        <v>2.8854099999999998</v>
      </c>
      <c r="DS3" s="2">
        <v>68.272400000000005</v>
      </c>
      <c r="DT3" s="2">
        <v>74.105000000000004</v>
      </c>
      <c r="DU3" s="2">
        <v>28.177600000000002</v>
      </c>
      <c r="DV3" s="2">
        <v>30.958862500000002</v>
      </c>
      <c r="DW3" s="3">
        <v>0.99189645000000004</v>
      </c>
      <c r="DX3" s="8">
        <v>3.08568</v>
      </c>
      <c r="DY3" s="2">
        <v>63.002600000000001</v>
      </c>
      <c r="DZ3" s="2">
        <v>68.7089</v>
      </c>
      <c r="EA3" s="2">
        <v>24.800899999999999</v>
      </c>
      <c r="EB3" s="2">
        <v>28.131074999999996</v>
      </c>
      <c r="EC3" s="3">
        <v>0.98723119999999998</v>
      </c>
      <c r="ED3" s="8">
        <v>3.2844500000000001</v>
      </c>
      <c r="EE3" s="2">
        <v>61.707000000000001</v>
      </c>
      <c r="EF3" s="2">
        <v>68.297499999999999</v>
      </c>
      <c r="EG3" s="2">
        <v>30.174600000000002</v>
      </c>
      <c r="EH3" s="2">
        <v>32.3710375</v>
      </c>
      <c r="EI3" s="3">
        <v>0.9878633</v>
      </c>
      <c r="EJ3" s="8">
        <v>3.06128</v>
      </c>
      <c r="EK3" s="2">
        <v>64.036299999999997</v>
      </c>
      <c r="EL3" s="2">
        <v>69.120400000000004</v>
      </c>
      <c r="EM3" s="2">
        <v>28.627700000000001</v>
      </c>
      <c r="EN3" s="2">
        <v>30.428812499999999</v>
      </c>
      <c r="EO3" s="3">
        <v>0.98788200000000004</v>
      </c>
      <c r="EP3" s="8">
        <v>3.0842399999999999</v>
      </c>
      <c r="EQ3" s="2">
        <v>70.194500000000005</v>
      </c>
      <c r="ER3" s="2">
        <v>74.553100000000001</v>
      </c>
      <c r="ES3" s="2">
        <v>24.374300000000002</v>
      </c>
      <c r="ET3" s="2">
        <v>26.267687500000001</v>
      </c>
      <c r="EU3" s="3">
        <v>0.99075871000000004</v>
      </c>
    </row>
    <row r="4" spans="1:151">
      <c r="A4" s="46"/>
      <c r="B4" s="7">
        <v>1.0716600000000001</v>
      </c>
      <c r="C4">
        <v>73.012299999999996</v>
      </c>
      <c r="D4">
        <v>77.024100000000004</v>
      </c>
      <c r="E4">
        <v>34.595999999999997</v>
      </c>
      <c r="F4">
        <v>36.969224999999994</v>
      </c>
      <c r="G4" s="4">
        <v>0.99487641000000004</v>
      </c>
      <c r="H4" s="7">
        <v>0.94623299999999999</v>
      </c>
      <c r="I4">
        <v>74.772999999999996</v>
      </c>
      <c r="J4">
        <v>79.023200000000003</v>
      </c>
      <c r="K4">
        <v>35.842300000000002</v>
      </c>
      <c r="L4">
        <v>38.480937500000003</v>
      </c>
      <c r="M4" s="4">
        <v>0.99506645999999999</v>
      </c>
      <c r="N4" s="7">
        <v>1.2527299999999999</v>
      </c>
      <c r="O4">
        <v>74.884900000000002</v>
      </c>
      <c r="P4">
        <v>78.811199999999999</v>
      </c>
      <c r="Q4">
        <v>30.5974</v>
      </c>
      <c r="R4">
        <v>33.477500000000006</v>
      </c>
      <c r="S4" s="4">
        <v>0.99459671000000005</v>
      </c>
      <c r="T4" s="7">
        <v>1.05867</v>
      </c>
      <c r="U4">
        <v>72.501599999999996</v>
      </c>
      <c r="V4">
        <v>76.424599999999998</v>
      </c>
      <c r="W4">
        <v>27.666699999999999</v>
      </c>
      <c r="X4">
        <v>30.173000000000002</v>
      </c>
      <c r="Y4" s="4">
        <v>0.99270586000000005</v>
      </c>
      <c r="Z4" s="7">
        <v>0.89396900000000001</v>
      </c>
      <c r="AA4">
        <v>74.127200000000002</v>
      </c>
      <c r="AB4">
        <v>77.694299999999998</v>
      </c>
      <c r="AC4">
        <v>29.049600000000002</v>
      </c>
      <c r="AD4">
        <v>32.875450000000001</v>
      </c>
      <c r="AE4" s="4">
        <v>0.99242266999999995</v>
      </c>
      <c r="AF4" s="7">
        <v>1.0639000000000001</v>
      </c>
      <c r="AG4">
        <v>70.055499999999995</v>
      </c>
      <c r="AH4">
        <v>73.878500000000003</v>
      </c>
      <c r="AI4">
        <v>25.6831</v>
      </c>
      <c r="AJ4">
        <v>26.869225</v>
      </c>
      <c r="AK4" s="4">
        <v>0.9888498</v>
      </c>
      <c r="AL4" s="7">
        <v>1.07477</v>
      </c>
      <c r="AM4">
        <v>73.755499999999998</v>
      </c>
      <c r="AN4">
        <v>77.986000000000004</v>
      </c>
      <c r="AO4">
        <v>27.1431</v>
      </c>
      <c r="AP4">
        <v>29.426424999999998</v>
      </c>
      <c r="AQ4" s="4">
        <v>0.98992670000000005</v>
      </c>
      <c r="AR4" s="7">
        <v>1.09968</v>
      </c>
      <c r="AS4">
        <v>75.638000000000005</v>
      </c>
      <c r="AT4">
        <v>79.822699999999998</v>
      </c>
      <c r="AU4">
        <v>28.693899999999999</v>
      </c>
      <c r="AV4">
        <v>31.652362500000002</v>
      </c>
      <c r="AW4" s="4">
        <v>0.99281750999999996</v>
      </c>
      <c r="AX4" s="7">
        <v>1.0808899999999999</v>
      </c>
      <c r="AY4">
        <v>71.161299999999997</v>
      </c>
      <c r="AZ4">
        <v>75.892899999999997</v>
      </c>
      <c r="BA4">
        <v>29.785299999999999</v>
      </c>
      <c r="BB4">
        <v>31.30715</v>
      </c>
      <c r="BC4" s="4">
        <v>0.99141928000000001</v>
      </c>
      <c r="BD4" s="7">
        <v>1.0764199999999999</v>
      </c>
      <c r="BE4">
        <v>73.260900000000007</v>
      </c>
      <c r="BF4">
        <v>76.679500000000004</v>
      </c>
      <c r="BG4">
        <v>31.4772</v>
      </c>
      <c r="BH4">
        <v>34.914637500000005</v>
      </c>
      <c r="BI4" s="4">
        <v>0.99415354</v>
      </c>
      <c r="BJ4" s="7">
        <v>0.98469399999999996</v>
      </c>
      <c r="BK4">
        <v>73.370599999999996</v>
      </c>
      <c r="BL4">
        <v>77.341399999999993</v>
      </c>
      <c r="BM4">
        <v>29.268799999999999</v>
      </c>
      <c r="BN4">
        <v>31.177799999999998</v>
      </c>
      <c r="BO4" s="4">
        <v>0.99005955999999995</v>
      </c>
      <c r="BP4" s="7">
        <v>0.97423199999999999</v>
      </c>
      <c r="BQ4">
        <v>72.633499999999998</v>
      </c>
      <c r="BR4">
        <v>76.217699999999994</v>
      </c>
      <c r="BS4">
        <v>27.8141</v>
      </c>
      <c r="BT4">
        <v>29.236625000000004</v>
      </c>
      <c r="BU4" s="4">
        <v>0.99215872999999999</v>
      </c>
      <c r="BV4" s="7">
        <v>1.0831299999999999</v>
      </c>
      <c r="BW4">
        <v>76.603700000000003</v>
      </c>
      <c r="BX4">
        <v>80.934799999999996</v>
      </c>
      <c r="BY4">
        <v>37.8688</v>
      </c>
      <c r="BZ4">
        <v>40.192025000000001</v>
      </c>
      <c r="CA4" s="4">
        <v>0.99526725000000005</v>
      </c>
      <c r="CB4" s="7">
        <v>1.0330600000000001</v>
      </c>
      <c r="CC4">
        <v>73.093500000000006</v>
      </c>
      <c r="CD4">
        <v>77.194199999999995</v>
      </c>
      <c r="CE4">
        <v>29.3581</v>
      </c>
      <c r="CF4">
        <v>31.009937499999999</v>
      </c>
      <c r="CG4" s="4">
        <v>0.99351752000000004</v>
      </c>
      <c r="CH4" s="7">
        <v>1.0243100000000001</v>
      </c>
      <c r="CI4">
        <v>73.722700000000003</v>
      </c>
      <c r="CJ4">
        <v>78.596800000000002</v>
      </c>
      <c r="CK4">
        <v>33.762500000000003</v>
      </c>
      <c r="CL4">
        <v>34.337850000000003</v>
      </c>
      <c r="CM4" s="4">
        <v>0.99221022000000003</v>
      </c>
      <c r="CN4" s="7">
        <v>0.98307199999999995</v>
      </c>
      <c r="CO4">
        <v>75.944900000000004</v>
      </c>
      <c r="CP4">
        <v>80.152000000000001</v>
      </c>
      <c r="CQ4">
        <v>32.0486</v>
      </c>
      <c r="CR4">
        <v>33.4574</v>
      </c>
      <c r="CS4" s="4">
        <v>0.99369448000000005</v>
      </c>
      <c r="CT4" s="7">
        <v>1.08623</v>
      </c>
      <c r="CU4">
        <v>71.998099999999994</v>
      </c>
      <c r="CV4">
        <v>76.416700000000006</v>
      </c>
      <c r="CW4">
        <v>28.828700000000001</v>
      </c>
      <c r="CX4">
        <v>30.056487500000003</v>
      </c>
      <c r="CY4" s="4">
        <v>0.98915589999999998</v>
      </c>
      <c r="CZ4" s="7">
        <v>1.0216700000000001</v>
      </c>
      <c r="DA4">
        <v>73.476299999999995</v>
      </c>
      <c r="DB4">
        <v>77.627899999999997</v>
      </c>
      <c r="DC4">
        <v>37.255400000000002</v>
      </c>
      <c r="DD4">
        <v>39.881399999999999</v>
      </c>
      <c r="DE4" s="4">
        <v>0.99417</v>
      </c>
      <c r="DF4" s="7">
        <v>1.0672900000000001</v>
      </c>
      <c r="DG4">
        <v>73.237899999999996</v>
      </c>
      <c r="DH4">
        <v>77.063599999999994</v>
      </c>
      <c r="DI4">
        <v>28.998200000000001</v>
      </c>
      <c r="DJ4">
        <v>30.9946625</v>
      </c>
      <c r="DK4" s="4">
        <v>0.99595582000000005</v>
      </c>
      <c r="DL4" s="7">
        <v>1.0456799999999999</v>
      </c>
      <c r="DM4">
        <v>76.831999999999994</v>
      </c>
      <c r="DN4">
        <v>80.743300000000005</v>
      </c>
      <c r="DO4">
        <v>34.174199999999999</v>
      </c>
      <c r="DP4">
        <v>35.458312499999998</v>
      </c>
      <c r="DQ4" s="4">
        <v>0.99317188999999995</v>
      </c>
      <c r="DR4" s="7">
        <v>0.95696199999999998</v>
      </c>
      <c r="DS4">
        <v>66.667100000000005</v>
      </c>
      <c r="DT4">
        <v>71.224400000000003</v>
      </c>
      <c r="DU4">
        <v>26.572600000000001</v>
      </c>
      <c r="DV4">
        <v>29.165262500000004</v>
      </c>
      <c r="DW4" s="4">
        <v>0.98712160000000004</v>
      </c>
      <c r="DX4" s="7">
        <v>1.0858099999999999</v>
      </c>
      <c r="DY4">
        <v>58.801299999999998</v>
      </c>
      <c r="DZ4">
        <v>64.725200000000001</v>
      </c>
      <c r="EA4">
        <v>23.724499999999999</v>
      </c>
      <c r="EB4">
        <v>26.872974999999997</v>
      </c>
      <c r="EC4" s="4">
        <v>0.98309599999999997</v>
      </c>
      <c r="ED4" s="7">
        <v>1.10663</v>
      </c>
      <c r="EE4">
        <v>56.758499999999998</v>
      </c>
      <c r="EF4">
        <v>60.283900000000003</v>
      </c>
      <c r="EG4">
        <v>28.169499999999999</v>
      </c>
      <c r="EH4">
        <v>31.24295</v>
      </c>
      <c r="EI4" s="4">
        <v>0.98515600000000003</v>
      </c>
      <c r="EJ4" s="7">
        <v>0.93084699999999998</v>
      </c>
      <c r="EK4">
        <v>61.391300000000001</v>
      </c>
      <c r="EL4">
        <v>65.920900000000003</v>
      </c>
      <c r="EM4">
        <v>26.938199999999998</v>
      </c>
      <c r="EN4">
        <v>29.273687499999998</v>
      </c>
      <c r="EO4" s="4">
        <v>0.9840411</v>
      </c>
      <c r="EP4" s="7">
        <v>1.04074</v>
      </c>
      <c r="EQ4">
        <v>67.663499999999999</v>
      </c>
      <c r="ER4">
        <v>71.0505</v>
      </c>
      <c r="ES4">
        <v>23.151199999999999</v>
      </c>
      <c r="ET4">
        <v>25.018499999999996</v>
      </c>
      <c r="EU4" s="4">
        <v>0.98256449999999995</v>
      </c>
    </row>
    <row r="5" spans="1:151">
      <c r="A5" s="46"/>
      <c r="B5" s="7">
        <v>0.31343799999999999</v>
      </c>
      <c r="C5">
        <v>67.867199999999997</v>
      </c>
      <c r="D5">
        <v>70.966999999999999</v>
      </c>
      <c r="E5">
        <v>30.595099999999999</v>
      </c>
      <c r="F5">
        <v>33.294262499999995</v>
      </c>
      <c r="G5" s="4">
        <v>0.98961900000000003</v>
      </c>
      <c r="H5" s="7">
        <v>0.29346499999999998</v>
      </c>
      <c r="I5">
        <v>70.040899999999993</v>
      </c>
      <c r="J5">
        <v>73.239400000000003</v>
      </c>
      <c r="K5">
        <v>31.611899999999999</v>
      </c>
      <c r="L5">
        <v>34.708874999999999</v>
      </c>
      <c r="M5" s="4">
        <v>0.99093461000000005</v>
      </c>
      <c r="N5" s="7">
        <v>0.313004</v>
      </c>
      <c r="O5">
        <v>69.574299999999994</v>
      </c>
      <c r="P5">
        <v>72.334599999999995</v>
      </c>
      <c r="Q5">
        <v>26.441299999999998</v>
      </c>
      <c r="R5">
        <v>29.651124999999997</v>
      </c>
      <c r="S5" s="4">
        <v>0.98804709999999996</v>
      </c>
      <c r="T5" s="7">
        <v>0.30004900000000001</v>
      </c>
      <c r="U5">
        <v>67.420699999999997</v>
      </c>
      <c r="V5">
        <v>70.311700000000002</v>
      </c>
      <c r="W5">
        <v>23.936800000000002</v>
      </c>
      <c r="X5">
        <v>26.943450000000002</v>
      </c>
      <c r="Y5" s="4">
        <v>0.98559050000000004</v>
      </c>
      <c r="Z5" s="7">
        <v>0.32642300000000002</v>
      </c>
      <c r="AA5">
        <v>70.572500000000005</v>
      </c>
      <c r="AB5">
        <v>73.462800000000001</v>
      </c>
      <c r="AC5">
        <v>27.006399999999999</v>
      </c>
      <c r="AD5">
        <v>30.711237500000003</v>
      </c>
      <c r="AE5" s="4">
        <v>0.98693739999999996</v>
      </c>
      <c r="AF5" s="7">
        <v>0.31992599999999999</v>
      </c>
      <c r="AG5">
        <v>65.187399999999997</v>
      </c>
      <c r="AH5">
        <v>67.937600000000003</v>
      </c>
      <c r="AI5">
        <v>23.027000000000001</v>
      </c>
      <c r="AJ5">
        <v>24.488099999999999</v>
      </c>
      <c r="AK5" s="4">
        <v>0.98003130000000005</v>
      </c>
      <c r="AL5" s="7">
        <v>0.29012700000000002</v>
      </c>
      <c r="AM5">
        <v>69.838899999999995</v>
      </c>
      <c r="AN5">
        <v>72.795100000000005</v>
      </c>
      <c r="AO5">
        <v>24.766100000000002</v>
      </c>
      <c r="AP5">
        <v>27.147212500000002</v>
      </c>
      <c r="AQ5" s="4">
        <v>0.98384289999999996</v>
      </c>
      <c r="AR5" s="7">
        <v>0.31043599999999999</v>
      </c>
      <c r="AS5">
        <v>70.128900000000002</v>
      </c>
      <c r="AT5">
        <v>73.035300000000007</v>
      </c>
      <c r="AU5">
        <v>26.9069</v>
      </c>
      <c r="AV5">
        <v>29.853274999999996</v>
      </c>
      <c r="AW5" s="4">
        <v>0.98772510000000002</v>
      </c>
      <c r="AX5" s="7">
        <v>0.28223999999999999</v>
      </c>
      <c r="AY5">
        <v>66.792599999999993</v>
      </c>
      <c r="AZ5">
        <v>69.173500000000004</v>
      </c>
      <c r="BA5">
        <v>25.258199999999999</v>
      </c>
      <c r="BB5">
        <v>27.450624999999999</v>
      </c>
      <c r="BC5" s="4">
        <v>0.98407940000000005</v>
      </c>
      <c r="BD5" s="7">
        <v>0.31836199999999998</v>
      </c>
      <c r="BE5">
        <v>69.079099999999997</v>
      </c>
      <c r="BF5">
        <v>71.9452</v>
      </c>
      <c r="BG5">
        <v>28.702999999999999</v>
      </c>
      <c r="BH5">
        <v>32.0690375</v>
      </c>
      <c r="BI5" s="4">
        <v>0.98783600000000005</v>
      </c>
      <c r="BJ5" s="7">
        <v>0.26536199999999999</v>
      </c>
      <c r="BK5">
        <v>69.993499999999997</v>
      </c>
      <c r="BL5">
        <v>73.230900000000005</v>
      </c>
      <c r="BM5">
        <v>26.4343</v>
      </c>
      <c r="BN5">
        <v>28.598962499999999</v>
      </c>
      <c r="BO5" s="4">
        <v>0.98488410000000004</v>
      </c>
      <c r="BP5" s="7">
        <v>0.26517800000000002</v>
      </c>
      <c r="BQ5">
        <v>66.628900000000002</v>
      </c>
      <c r="BR5">
        <v>69.078299999999999</v>
      </c>
      <c r="BS5">
        <v>24.647500000000001</v>
      </c>
      <c r="BT5">
        <v>25.903224999999999</v>
      </c>
      <c r="BU5" s="4">
        <v>0.98474819999999996</v>
      </c>
      <c r="BV5" s="7">
        <v>0.32548300000000002</v>
      </c>
      <c r="BW5">
        <v>71.627899999999997</v>
      </c>
      <c r="BX5">
        <v>74.486999999999995</v>
      </c>
      <c r="BY5">
        <v>34.093899999999998</v>
      </c>
      <c r="BZ5">
        <v>36.823137500000001</v>
      </c>
      <c r="CA5" s="4">
        <v>0.99059615000000001</v>
      </c>
      <c r="CB5" s="7">
        <v>0.27590599999999998</v>
      </c>
      <c r="CC5">
        <v>67.210599999999999</v>
      </c>
      <c r="CD5">
        <v>70.307299999999998</v>
      </c>
      <c r="CE5">
        <v>25.814499999999999</v>
      </c>
      <c r="CF5">
        <v>27.756337499999997</v>
      </c>
      <c r="CG5" s="4">
        <v>0.98519520000000005</v>
      </c>
      <c r="CH5" s="7">
        <v>0.328463</v>
      </c>
      <c r="CI5">
        <v>68.279499999999999</v>
      </c>
      <c r="CJ5">
        <v>69.760499999999993</v>
      </c>
      <c r="CK5">
        <v>29.812999999999999</v>
      </c>
      <c r="CL5">
        <v>31.090724999999999</v>
      </c>
      <c r="CM5" s="4">
        <v>0.98733199999999999</v>
      </c>
      <c r="CN5" s="7">
        <v>0.287852</v>
      </c>
      <c r="CO5">
        <v>70.944199999999995</v>
      </c>
      <c r="CP5">
        <v>74.022800000000004</v>
      </c>
      <c r="CQ5">
        <v>29.836300000000001</v>
      </c>
      <c r="CR5">
        <v>31.394062500000004</v>
      </c>
      <c r="CS5" s="4">
        <v>0.98889590000000005</v>
      </c>
      <c r="CT5" s="7">
        <v>0.30557000000000001</v>
      </c>
      <c r="CU5">
        <v>66.858800000000002</v>
      </c>
      <c r="CV5">
        <v>70.363</v>
      </c>
      <c r="CW5">
        <v>25.7102</v>
      </c>
      <c r="CX5">
        <v>27.216325000000001</v>
      </c>
      <c r="CY5" s="4">
        <v>0.98249909999999996</v>
      </c>
      <c r="CZ5" s="7">
        <v>0.281665</v>
      </c>
      <c r="DA5">
        <v>68.728999999999999</v>
      </c>
      <c r="DB5">
        <v>72.114999999999995</v>
      </c>
      <c r="DC5">
        <v>34.1783</v>
      </c>
      <c r="DD5">
        <v>36.761749999999999</v>
      </c>
      <c r="DE5" s="4">
        <v>0.98955700000000002</v>
      </c>
      <c r="DF5" s="7">
        <v>0.27760400000000002</v>
      </c>
      <c r="DG5">
        <v>66.775099999999995</v>
      </c>
      <c r="DH5">
        <v>69.885199999999998</v>
      </c>
      <c r="DI5">
        <v>25.706199999999999</v>
      </c>
      <c r="DJ5">
        <v>28.1953</v>
      </c>
      <c r="DK5" s="4">
        <v>0.99059715999999998</v>
      </c>
      <c r="DL5" s="7">
        <v>0.30621999999999999</v>
      </c>
      <c r="DM5">
        <v>70.668999999999997</v>
      </c>
      <c r="DN5">
        <v>72.642600000000002</v>
      </c>
      <c r="DO5">
        <v>30.408300000000001</v>
      </c>
      <c r="DP5">
        <v>32.15305</v>
      </c>
      <c r="DQ5" s="4">
        <v>0.98738040000000005</v>
      </c>
      <c r="DR5" s="7">
        <v>0.30912299999999998</v>
      </c>
      <c r="DS5">
        <v>64.255099999999999</v>
      </c>
      <c r="DT5">
        <v>67.582099999999997</v>
      </c>
      <c r="DU5">
        <v>25.127099999999999</v>
      </c>
      <c r="DV5">
        <v>27.731862499999998</v>
      </c>
      <c r="DW5" s="4">
        <v>0.98272570000000004</v>
      </c>
      <c r="DX5" s="7">
        <v>0.28295300000000001</v>
      </c>
      <c r="DY5">
        <v>53.863199999999999</v>
      </c>
      <c r="DZ5">
        <v>55.686599999999999</v>
      </c>
      <c r="EA5">
        <v>20.440100000000001</v>
      </c>
      <c r="EB5">
        <v>24.177675000000001</v>
      </c>
      <c r="EC5" s="4">
        <v>0.97131970000000001</v>
      </c>
      <c r="ED5" s="7">
        <v>0.30631799999999998</v>
      </c>
      <c r="EE5">
        <v>52.982300000000002</v>
      </c>
      <c r="EF5">
        <v>54.897799999999997</v>
      </c>
      <c r="EG5">
        <v>26.340900000000001</v>
      </c>
      <c r="EH5">
        <v>29.532975</v>
      </c>
      <c r="EI5" s="4">
        <v>0.97796680000000002</v>
      </c>
      <c r="EJ5" s="7">
        <v>0.300097</v>
      </c>
      <c r="EK5">
        <v>61.319200000000002</v>
      </c>
      <c r="EL5">
        <v>65.87</v>
      </c>
      <c r="EM5">
        <v>26.6403</v>
      </c>
      <c r="EN5">
        <v>28.754224999999998</v>
      </c>
      <c r="EO5" s="4">
        <v>0.98191859999999997</v>
      </c>
      <c r="EP5" s="7">
        <v>0.27211800000000003</v>
      </c>
      <c r="EQ5">
        <v>63.200600000000001</v>
      </c>
      <c r="ER5">
        <v>66.1554</v>
      </c>
      <c r="ES5">
        <v>19.854500000000002</v>
      </c>
      <c r="ET5">
        <v>22.0349875</v>
      </c>
      <c r="EU5" s="4">
        <v>0.96492990000000001</v>
      </c>
    </row>
    <row r="6" spans="1:151">
      <c r="A6" s="47"/>
      <c r="B6" s="9">
        <v>9.6049399999999993E-2</v>
      </c>
      <c r="C6" s="5">
        <v>63.223100000000002</v>
      </c>
      <c r="D6" s="5">
        <v>65.497900000000001</v>
      </c>
      <c r="E6" s="5">
        <v>27.962399999999999</v>
      </c>
      <c r="F6" s="5">
        <v>30.647950000000002</v>
      </c>
      <c r="G6" s="6">
        <v>0.98239960000000004</v>
      </c>
      <c r="H6" s="9">
        <v>9.19928E-2</v>
      </c>
      <c r="I6" s="5">
        <v>65.139700000000005</v>
      </c>
      <c r="J6" s="5">
        <v>67.328699999999998</v>
      </c>
      <c r="K6" s="5">
        <v>28.9191</v>
      </c>
      <c r="L6" s="5">
        <v>32.0371375</v>
      </c>
      <c r="M6" s="6">
        <v>0.98389720000000003</v>
      </c>
      <c r="N6" s="9">
        <v>0.105196</v>
      </c>
      <c r="O6" s="5">
        <v>65.333299999999994</v>
      </c>
      <c r="P6" s="5">
        <v>67.282499999999999</v>
      </c>
      <c r="Q6" s="5">
        <v>24.778099999999998</v>
      </c>
      <c r="R6" s="5">
        <v>27.853237499999999</v>
      </c>
      <c r="S6" s="6">
        <v>0.97988520000000001</v>
      </c>
      <c r="T6" s="9">
        <v>0.104051</v>
      </c>
      <c r="U6" s="5">
        <v>63.5366</v>
      </c>
      <c r="V6" s="5">
        <v>65.819100000000006</v>
      </c>
      <c r="W6" s="5">
        <v>22.5791</v>
      </c>
      <c r="X6" s="5">
        <v>25.5504125</v>
      </c>
      <c r="Y6" s="6">
        <v>0.97722229999999999</v>
      </c>
      <c r="Z6" s="9">
        <v>0.108336</v>
      </c>
      <c r="AA6" s="5">
        <v>65.1755</v>
      </c>
      <c r="AB6" s="5">
        <v>66.992099999999994</v>
      </c>
      <c r="AC6" s="5">
        <v>25.447399999999998</v>
      </c>
      <c r="AD6" s="5">
        <v>29.303487499999999</v>
      </c>
      <c r="AE6" s="6">
        <v>0.98108569999999995</v>
      </c>
      <c r="AF6" s="9">
        <v>9.1101399999999999E-2</v>
      </c>
      <c r="AG6" s="5">
        <v>57.105200000000004</v>
      </c>
      <c r="AH6" s="5">
        <v>59.0989</v>
      </c>
      <c r="AI6" s="5">
        <v>21.1265</v>
      </c>
      <c r="AJ6" s="5">
        <v>22.737712500000001</v>
      </c>
      <c r="AK6" s="6">
        <v>0.96595909999999996</v>
      </c>
      <c r="AL6" s="9">
        <v>0.10772900000000001</v>
      </c>
      <c r="AM6" s="5">
        <v>66.757199999999997</v>
      </c>
      <c r="AN6" s="5">
        <v>68.747600000000006</v>
      </c>
      <c r="AO6" s="5">
        <v>23.857800000000001</v>
      </c>
      <c r="AP6" s="5">
        <v>26.095825000000001</v>
      </c>
      <c r="AQ6" s="6">
        <v>0.97757430000000001</v>
      </c>
      <c r="AR6" s="9">
        <v>9.2914300000000005E-2</v>
      </c>
      <c r="AS6" s="5">
        <v>65.752200000000002</v>
      </c>
      <c r="AT6" s="5">
        <v>67.661699999999996</v>
      </c>
      <c r="AU6" s="5">
        <v>25.897500000000001</v>
      </c>
      <c r="AV6" s="5">
        <v>28.300462499999998</v>
      </c>
      <c r="AW6" s="6">
        <v>0.98190390000000005</v>
      </c>
      <c r="AX6" s="9">
        <v>0.110925</v>
      </c>
      <c r="AY6" s="5">
        <v>57.613300000000002</v>
      </c>
      <c r="AZ6" s="5">
        <v>59.481400000000001</v>
      </c>
      <c r="BA6" s="5">
        <v>22.258500000000002</v>
      </c>
      <c r="BB6" s="5">
        <v>25.150612500000005</v>
      </c>
      <c r="BC6" s="6">
        <v>0.97336599999999995</v>
      </c>
      <c r="BD6" s="9">
        <v>0.106651</v>
      </c>
      <c r="BE6" s="5">
        <v>64.301699999999997</v>
      </c>
      <c r="BF6" s="5">
        <v>66.625500000000002</v>
      </c>
      <c r="BG6" s="5">
        <v>26.192799999999998</v>
      </c>
      <c r="BH6" s="5">
        <v>29.921212499999996</v>
      </c>
      <c r="BI6" s="6">
        <v>0.98264359999999995</v>
      </c>
      <c r="BJ6" s="9">
        <v>0.109912</v>
      </c>
      <c r="BK6" s="5">
        <v>67.006100000000004</v>
      </c>
      <c r="BL6" s="5">
        <v>69.1464</v>
      </c>
      <c r="BM6" s="5">
        <v>25.3489</v>
      </c>
      <c r="BN6" s="5">
        <v>27.48725</v>
      </c>
      <c r="BO6" s="6">
        <v>0.97988730000000002</v>
      </c>
      <c r="BP6" s="9">
        <v>0.109847</v>
      </c>
      <c r="BQ6" s="5">
        <v>63.596299999999999</v>
      </c>
      <c r="BR6" s="5">
        <v>65.781000000000006</v>
      </c>
      <c r="BS6" s="5">
        <v>23.360900000000001</v>
      </c>
      <c r="BT6" s="5">
        <v>24.650012500000003</v>
      </c>
      <c r="BU6" s="6">
        <v>0.97749370000000002</v>
      </c>
      <c r="BV6" s="9">
        <v>0.104296</v>
      </c>
      <c r="BW6" s="5">
        <v>68.878</v>
      </c>
      <c r="BX6" s="5">
        <v>71.162999999999997</v>
      </c>
      <c r="BY6" s="5">
        <v>31.139299999999999</v>
      </c>
      <c r="BZ6" s="5">
        <v>34.124762500000003</v>
      </c>
      <c r="CA6" s="6">
        <v>0.9846104</v>
      </c>
      <c r="CB6" s="9">
        <v>0.108622</v>
      </c>
      <c r="CC6" s="5">
        <v>63.374400000000001</v>
      </c>
      <c r="CD6" s="5">
        <v>65.703800000000001</v>
      </c>
      <c r="CE6" s="5">
        <v>24.0105</v>
      </c>
      <c r="CF6" s="5">
        <v>26.072424999999999</v>
      </c>
      <c r="CG6" s="6">
        <v>0.97229509999999997</v>
      </c>
      <c r="CH6" s="9">
        <v>0.10070999999999999</v>
      </c>
      <c r="CI6" s="5">
        <v>62.3093</v>
      </c>
      <c r="CJ6" s="5">
        <v>65.237200000000001</v>
      </c>
      <c r="CK6" s="5">
        <v>27.689399999999999</v>
      </c>
      <c r="CL6" s="5">
        <v>29.308687499999998</v>
      </c>
      <c r="CM6" s="6">
        <v>0.98249419999999998</v>
      </c>
      <c r="CN6" s="9">
        <v>9.4351500000000005E-2</v>
      </c>
      <c r="CO6" s="5">
        <v>65.043499999999995</v>
      </c>
      <c r="CP6" s="5">
        <v>66.979799999999997</v>
      </c>
      <c r="CQ6" s="5">
        <v>26.421600000000002</v>
      </c>
      <c r="CR6" s="5">
        <v>28.411075000000004</v>
      </c>
      <c r="CS6" s="6">
        <v>0.98348849999999999</v>
      </c>
      <c r="CT6" s="9">
        <v>0.10405300000000001</v>
      </c>
      <c r="CU6" s="5">
        <v>57.750999999999998</v>
      </c>
      <c r="CV6" s="5">
        <v>60.9146</v>
      </c>
      <c r="CW6" s="5">
        <v>23.7499</v>
      </c>
      <c r="CX6" s="5">
        <v>25.45955</v>
      </c>
      <c r="CY6" s="6">
        <v>0.97467380000000003</v>
      </c>
      <c r="CZ6" s="9">
        <v>0.108405</v>
      </c>
      <c r="DA6" s="5">
        <v>62.824100000000001</v>
      </c>
      <c r="DB6" s="5">
        <v>64.8874</v>
      </c>
      <c r="DC6" s="5">
        <v>30.825800000000001</v>
      </c>
      <c r="DD6" s="5">
        <v>34.073525000000004</v>
      </c>
      <c r="DE6" s="6">
        <v>0.98423930000000004</v>
      </c>
      <c r="DF6" s="9">
        <v>0.102947</v>
      </c>
      <c r="DG6" s="5">
        <v>57.5747</v>
      </c>
      <c r="DH6" s="5">
        <v>60.622799999999998</v>
      </c>
      <c r="DI6" s="5">
        <v>23.527799999999999</v>
      </c>
      <c r="DJ6" s="5">
        <v>26.1761625</v>
      </c>
      <c r="DK6" s="6">
        <v>0.98445340000000003</v>
      </c>
      <c r="DL6" s="9">
        <v>9.3450500000000006E-2</v>
      </c>
      <c r="DM6" s="5">
        <v>67.702200000000005</v>
      </c>
      <c r="DN6" s="5">
        <v>69.348500000000001</v>
      </c>
      <c r="DO6" s="5">
        <v>28.387699999999999</v>
      </c>
      <c r="DP6" s="5">
        <v>30.224775000000001</v>
      </c>
      <c r="DQ6" s="6">
        <v>0.98070219999999997</v>
      </c>
      <c r="DR6" s="9">
        <v>9.5064200000000001E-2</v>
      </c>
      <c r="DS6" s="5">
        <v>58.010800000000003</v>
      </c>
      <c r="DT6" s="5">
        <v>59.610599999999998</v>
      </c>
      <c r="DU6" s="5">
        <v>23.6264</v>
      </c>
      <c r="DV6" s="5">
        <v>26.357037499999997</v>
      </c>
      <c r="DW6" s="6">
        <v>0.97384119999999996</v>
      </c>
      <c r="DX6" s="9">
        <v>0.103578</v>
      </c>
      <c r="DY6" s="5">
        <v>48.709600000000002</v>
      </c>
      <c r="DZ6" s="5">
        <v>49.867400000000004</v>
      </c>
      <c r="EA6" s="5">
        <v>17.727599999999999</v>
      </c>
      <c r="EB6" s="5">
        <v>21.948074999999999</v>
      </c>
      <c r="EC6" s="6">
        <v>0.93947919999999996</v>
      </c>
      <c r="ED6" s="9">
        <v>9.6576300000000004E-2</v>
      </c>
      <c r="EE6" s="5">
        <v>48.3352</v>
      </c>
      <c r="EF6" s="5">
        <v>49.349200000000003</v>
      </c>
      <c r="EG6" s="5">
        <v>24.295400000000001</v>
      </c>
      <c r="EH6" s="5">
        <v>27.5243875</v>
      </c>
      <c r="EI6" s="6">
        <v>0.96753460000000002</v>
      </c>
      <c r="EJ6" s="9">
        <v>0.108006</v>
      </c>
      <c r="EK6" s="5">
        <v>56.623600000000003</v>
      </c>
      <c r="EL6" s="5">
        <v>59.690300000000001</v>
      </c>
      <c r="EM6" s="5">
        <v>25.2515</v>
      </c>
      <c r="EN6" s="5">
        <v>27.6142875</v>
      </c>
      <c r="EO6" s="6">
        <v>0.97659209999999996</v>
      </c>
      <c r="EP6" s="9">
        <v>9.4120099999999998E-2</v>
      </c>
      <c r="EQ6" s="5">
        <v>57.615000000000002</v>
      </c>
      <c r="ER6" s="5">
        <v>59.604199999999999</v>
      </c>
      <c r="ES6" s="5">
        <v>17.977799999999998</v>
      </c>
      <c r="ET6" s="5">
        <v>20.392524999999999</v>
      </c>
      <c r="EU6" s="6">
        <v>0.94316219999999995</v>
      </c>
    </row>
    <row r="7" spans="1:151">
      <c r="A7" s="45" t="s">
        <v>92</v>
      </c>
      <c r="B7" s="8">
        <v>9.9691896069508804E-2</v>
      </c>
      <c r="C7" s="2">
        <v>56.563499999999998</v>
      </c>
      <c r="D7" s="2">
        <v>60.387599999999999</v>
      </c>
      <c r="E7" s="2">
        <v>25.536799999999999</v>
      </c>
      <c r="F7" s="2">
        <v>27.028937500000001</v>
      </c>
      <c r="G7" s="3">
        <v>0.97403309999999999</v>
      </c>
      <c r="H7" s="8">
        <v>0.10774734624972</v>
      </c>
      <c r="I7" s="2">
        <v>57.176600000000001</v>
      </c>
      <c r="J7" s="2">
        <v>60.3489</v>
      </c>
      <c r="K7" s="2">
        <v>26.5688</v>
      </c>
      <c r="L7" s="2">
        <v>27.794174999999999</v>
      </c>
      <c r="M7" s="3">
        <v>0.97677899999999995</v>
      </c>
      <c r="N7" s="8">
        <v>0.106832682595567</v>
      </c>
      <c r="O7" s="2">
        <v>57.8414</v>
      </c>
      <c r="P7" s="2">
        <v>62.098399999999998</v>
      </c>
      <c r="Q7" s="2">
        <v>22.401700000000002</v>
      </c>
      <c r="R7" s="2">
        <v>23.895712499999998</v>
      </c>
      <c r="S7" s="3">
        <v>0.96571850000000004</v>
      </c>
      <c r="T7" s="8">
        <v>0.105081452234391</v>
      </c>
      <c r="U7" s="2">
        <v>56.577199999999998</v>
      </c>
      <c r="V7" s="2">
        <v>60.8352</v>
      </c>
      <c r="W7" s="2">
        <v>20.905799999999999</v>
      </c>
      <c r="X7" s="2">
        <v>23.354312499999999</v>
      </c>
      <c r="Y7" s="3">
        <v>0.97038500000000005</v>
      </c>
      <c r="Z7" s="8">
        <v>9.8829441484568195E-2</v>
      </c>
      <c r="AA7" s="2">
        <v>57.868200000000002</v>
      </c>
      <c r="AB7" s="2">
        <v>61.939300000000003</v>
      </c>
      <c r="AC7" s="2">
        <v>22.667999999999999</v>
      </c>
      <c r="AD7" s="2">
        <v>23.418612499999998</v>
      </c>
      <c r="AE7" s="3">
        <v>0.96408159999999998</v>
      </c>
      <c r="AF7" s="8">
        <v>0.10236143238201099</v>
      </c>
      <c r="AG7" s="2">
        <v>56.562899999999999</v>
      </c>
      <c r="AH7" s="2">
        <v>60.194800000000001</v>
      </c>
      <c r="AI7" s="2">
        <v>20.898800000000001</v>
      </c>
      <c r="AJ7" s="2">
        <v>22.636962499999999</v>
      </c>
      <c r="AK7" s="3">
        <v>0.96365290000000003</v>
      </c>
      <c r="AL7" s="8">
        <v>0.107351163644578</v>
      </c>
      <c r="AM7" s="2">
        <v>56.572499999999998</v>
      </c>
      <c r="AN7" s="2">
        <v>59.8688</v>
      </c>
      <c r="AO7" s="2">
        <v>22.869499999999999</v>
      </c>
      <c r="AP7" s="2">
        <v>24.717399999999998</v>
      </c>
      <c r="AQ7" s="3">
        <v>0.97302480000000002</v>
      </c>
      <c r="AR7" s="8">
        <v>0.101591832043521</v>
      </c>
      <c r="AS7" s="2">
        <v>57.426900000000003</v>
      </c>
      <c r="AT7" s="2">
        <v>61.175899999999999</v>
      </c>
      <c r="AU7" s="2">
        <v>24.453199999999999</v>
      </c>
      <c r="AV7" s="2">
        <v>26.4923</v>
      </c>
      <c r="AW7" s="3">
        <v>0.97829710000000003</v>
      </c>
      <c r="AX7" s="8">
        <v>0.105214614889171</v>
      </c>
      <c r="AY7" s="2">
        <v>56.563899999999997</v>
      </c>
      <c r="AZ7" s="2">
        <v>59.603700000000003</v>
      </c>
      <c r="BA7" s="2">
        <v>21.142399999999999</v>
      </c>
      <c r="BB7" s="2">
        <v>22.907975</v>
      </c>
      <c r="BC7" s="3">
        <v>0.96297900000000003</v>
      </c>
      <c r="BD7" s="8">
        <v>0.100937732339276</v>
      </c>
      <c r="BE7" s="2">
        <v>57.460099999999997</v>
      </c>
      <c r="BF7" s="2">
        <v>62.264000000000003</v>
      </c>
      <c r="BG7" s="2">
        <v>23.844899999999999</v>
      </c>
      <c r="BH7" s="2">
        <v>25.879525000000001</v>
      </c>
      <c r="BI7" s="3">
        <v>0.97355689999999995</v>
      </c>
      <c r="BJ7" s="8">
        <v>9.31446116565008E-2</v>
      </c>
      <c r="BK7" s="2">
        <v>56.563899999999997</v>
      </c>
      <c r="BL7" s="2">
        <v>59.754199999999997</v>
      </c>
      <c r="BM7" s="2">
        <v>23.7881</v>
      </c>
      <c r="BN7" s="2">
        <v>25.409725000000002</v>
      </c>
      <c r="BO7" s="3">
        <v>0.97164850000000003</v>
      </c>
      <c r="BP7" s="8">
        <v>0.100630825074449</v>
      </c>
      <c r="BQ7" s="2">
        <v>56.528700000000001</v>
      </c>
      <c r="BR7" s="2">
        <v>60.6678</v>
      </c>
      <c r="BS7" s="2">
        <v>22.014500000000002</v>
      </c>
      <c r="BT7" s="2">
        <v>23.389250000000001</v>
      </c>
      <c r="BU7" s="3">
        <v>0.96905819999999998</v>
      </c>
      <c r="BV7" s="8">
        <v>0.103407851953339</v>
      </c>
      <c r="BW7" s="2">
        <v>57.437600000000003</v>
      </c>
      <c r="BX7" s="2">
        <v>60.917000000000002</v>
      </c>
      <c r="BY7" s="2">
        <v>27.651700000000002</v>
      </c>
      <c r="BZ7" s="2">
        <v>28.11215</v>
      </c>
      <c r="CA7" s="3">
        <v>0.97436389999999995</v>
      </c>
      <c r="CB7" s="8">
        <v>0.103861387951395</v>
      </c>
      <c r="CC7" s="2">
        <v>56.554699999999997</v>
      </c>
      <c r="CD7" s="2">
        <v>59.852200000000003</v>
      </c>
      <c r="CE7" s="2">
        <v>23.026700000000002</v>
      </c>
      <c r="CF7" s="2">
        <v>24.877262500000001</v>
      </c>
      <c r="CG7" s="3">
        <v>0.97060800000000003</v>
      </c>
      <c r="CH7" s="8">
        <v>9.1984485900108395E-2</v>
      </c>
      <c r="CI7" s="2">
        <v>58.220799999999997</v>
      </c>
      <c r="CJ7" s="2">
        <v>62.499099999999999</v>
      </c>
      <c r="CK7" s="2">
        <v>24.9405</v>
      </c>
      <c r="CL7" s="2">
        <v>26.077937500000001</v>
      </c>
      <c r="CM7" s="3">
        <v>0.9671883</v>
      </c>
      <c r="CN7" s="8">
        <v>9.8185321353439603E-2</v>
      </c>
      <c r="CO7" s="2">
        <v>57.186500000000002</v>
      </c>
      <c r="CP7" s="2">
        <v>60.771500000000003</v>
      </c>
      <c r="CQ7" s="2">
        <v>25.021000000000001</v>
      </c>
      <c r="CR7" s="2">
        <v>26.753237500000001</v>
      </c>
      <c r="CS7" s="3">
        <v>0.98018499999999997</v>
      </c>
      <c r="CT7" s="8">
        <v>0.102551202681169</v>
      </c>
      <c r="CU7" s="2">
        <v>56.558199999999999</v>
      </c>
      <c r="CV7" s="2">
        <v>59.910600000000002</v>
      </c>
      <c r="CW7" s="2">
        <v>22.758199999999999</v>
      </c>
      <c r="CX7" s="2">
        <v>24.102749999999997</v>
      </c>
      <c r="CY7" s="3">
        <v>0.96662199999999998</v>
      </c>
      <c r="CZ7" s="8">
        <v>9.9314461688964698E-2</v>
      </c>
      <c r="DA7" s="2">
        <v>56.563000000000002</v>
      </c>
      <c r="DB7" s="2">
        <v>59.690399999999997</v>
      </c>
      <c r="DC7" s="2">
        <v>28.62</v>
      </c>
      <c r="DD7" s="2">
        <v>29.619149999999998</v>
      </c>
      <c r="DE7" s="3">
        <v>0.97787179999999996</v>
      </c>
      <c r="DF7" s="8">
        <v>0.108290661232039</v>
      </c>
      <c r="DG7" s="2">
        <v>56.543399999999998</v>
      </c>
      <c r="DH7" s="2">
        <v>60.071399999999997</v>
      </c>
      <c r="DI7" s="2">
        <v>22.883299999999998</v>
      </c>
      <c r="DJ7" s="2">
        <v>24.726412500000002</v>
      </c>
      <c r="DK7" s="3">
        <v>0.9796011</v>
      </c>
      <c r="DL7" s="8">
        <v>9.5922769748871997E-2</v>
      </c>
      <c r="DM7" s="2">
        <v>57.454099999999997</v>
      </c>
      <c r="DN7" s="2">
        <v>61.696899999999999</v>
      </c>
      <c r="DO7" s="2">
        <v>25.7638</v>
      </c>
      <c r="DP7" s="2">
        <v>26.527037499999999</v>
      </c>
      <c r="DQ7" s="3">
        <v>0.97043650000000004</v>
      </c>
      <c r="DR7" s="8">
        <v>9.2647043435495499E-2</v>
      </c>
      <c r="DS7" s="2">
        <v>53.264099999999999</v>
      </c>
      <c r="DT7" s="2">
        <v>56.499899999999997</v>
      </c>
      <c r="DU7" s="2">
        <v>22.873100000000001</v>
      </c>
      <c r="DV7" s="2">
        <v>24.926862500000002</v>
      </c>
      <c r="DW7" s="3">
        <v>0.96969590000000006</v>
      </c>
      <c r="DX7" s="8">
        <v>0.100896795245016</v>
      </c>
      <c r="DY7" s="2">
        <v>46.563000000000002</v>
      </c>
      <c r="DZ7" s="2">
        <v>49.784399999999998</v>
      </c>
      <c r="EA7" s="2">
        <v>18.573599999999999</v>
      </c>
      <c r="EB7" s="2">
        <v>21.790612499999998</v>
      </c>
      <c r="EC7" s="3">
        <v>0.93465209999999999</v>
      </c>
      <c r="ED7" s="8">
        <v>0.10527340580885899</v>
      </c>
      <c r="EE7" s="2">
        <v>44.9544</v>
      </c>
      <c r="EF7" s="2">
        <v>47.933799999999998</v>
      </c>
      <c r="EG7" s="2">
        <v>24.029299999999999</v>
      </c>
      <c r="EH7" s="2">
        <v>26.924599999999998</v>
      </c>
      <c r="EI7" s="3">
        <v>0.96709469999999997</v>
      </c>
      <c r="EJ7" s="8">
        <v>9.6619992385464704E-2</v>
      </c>
      <c r="EK7" s="2">
        <v>51.811300000000003</v>
      </c>
      <c r="EL7" s="2">
        <v>56.759900000000002</v>
      </c>
      <c r="EM7" s="2">
        <v>23.931999999999999</v>
      </c>
      <c r="EN7" s="2">
        <v>25.911237499999999</v>
      </c>
      <c r="EO7" s="3">
        <v>0.96821630000000003</v>
      </c>
      <c r="EP7" s="8">
        <v>0.106996821474153</v>
      </c>
      <c r="EQ7" s="2">
        <v>56.631700000000002</v>
      </c>
      <c r="ER7" s="2">
        <v>60.997700000000002</v>
      </c>
      <c r="ES7" s="2">
        <v>17.632899999999999</v>
      </c>
      <c r="ET7" s="2">
        <v>19.330175000000001</v>
      </c>
      <c r="EU7" s="3">
        <v>0.94354879999999997</v>
      </c>
    </row>
    <row r="8" spans="1:151">
      <c r="A8" s="46"/>
      <c r="B8" s="7">
        <v>0.32935235791348799</v>
      </c>
      <c r="C8">
        <v>61.619700000000002</v>
      </c>
      <c r="D8">
        <v>66.337100000000007</v>
      </c>
      <c r="E8">
        <v>28.153400000000001</v>
      </c>
      <c r="F8">
        <v>29.399337500000001</v>
      </c>
      <c r="G8" s="4">
        <v>0.98365460000000005</v>
      </c>
      <c r="H8" s="7">
        <v>0.31351519931659</v>
      </c>
      <c r="I8">
        <v>61.612099999999998</v>
      </c>
      <c r="J8">
        <v>65.748400000000004</v>
      </c>
      <c r="K8">
        <v>29.0275</v>
      </c>
      <c r="L8">
        <v>30.052049999999998</v>
      </c>
      <c r="M8" s="4">
        <v>0.98426309999999995</v>
      </c>
      <c r="N8" s="7">
        <v>0.31014421951752902</v>
      </c>
      <c r="O8">
        <v>61.620100000000001</v>
      </c>
      <c r="P8">
        <v>66.498199999999997</v>
      </c>
      <c r="Q8">
        <v>25.108799999999999</v>
      </c>
      <c r="R8">
        <v>26.964275000000001</v>
      </c>
      <c r="S8" s="4">
        <v>0.98265849999999999</v>
      </c>
      <c r="T8" s="7">
        <v>0.30824120678210998</v>
      </c>
      <c r="U8">
        <v>61.6113</v>
      </c>
      <c r="V8">
        <v>66.472099999999998</v>
      </c>
      <c r="W8">
        <v>22.719100000000001</v>
      </c>
      <c r="X8">
        <v>24.769112500000002</v>
      </c>
      <c r="Y8" s="4">
        <v>0.97976739999999996</v>
      </c>
      <c r="Z8" s="7">
        <v>0.31305488817303601</v>
      </c>
      <c r="AA8">
        <v>62.156100000000002</v>
      </c>
      <c r="AB8">
        <v>66.940600000000003</v>
      </c>
      <c r="AC8">
        <v>25.523800000000001</v>
      </c>
      <c r="AD8">
        <v>27.488100000000003</v>
      </c>
      <c r="AE8" s="4">
        <v>0.9823191</v>
      </c>
      <c r="AF8" s="7">
        <v>0.31268893347795601</v>
      </c>
      <c r="AG8">
        <v>61.617100000000001</v>
      </c>
      <c r="AH8">
        <v>66.110299999999995</v>
      </c>
      <c r="AI8">
        <v>22.3705</v>
      </c>
      <c r="AJ8">
        <v>23.923500000000001</v>
      </c>
      <c r="AK8" s="4">
        <v>0.97526279999999999</v>
      </c>
      <c r="AL8" s="7">
        <v>0.31237691013977498</v>
      </c>
      <c r="AM8">
        <v>61.618699999999997</v>
      </c>
      <c r="AN8">
        <v>65.860900000000001</v>
      </c>
      <c r="AO8">
        <v>23.853400000000001</v>
      </c>
      <c r="AP8">
        <v>25.538112500000004</v>
      </c>
      <c r="AQ8" s="4">
        <v>0.97908070000000003</v>
      </c>
      <c r="AR8" s="7">
        <v>0.30073366025591902</v>
      </c>
      <c r="AS8">
        <v>62.578000000000003</v>
      </c>
      <c r="AT8">
        <v>67.337999999999994</v>
      </c>
      <c r="AU8">
        <v>25.5931</v>
      </c>
      <c r="AV8">
        <v>27.303625</v>
      </c>
      <c r="AW8" s="4">
        <v>0.98150590000000004</v>
      </c>
      <c r="AX8" s="7">
        <v>0.31756473534301199</v>
      </c>
      <c r="AY8">
        <v>61.612900000000003</v>
      </c>
      <c r="AZ8">
        <v>65.602699999999999</v>
      </c>
      <c r="BA8">
        <v>23.583300000000001</v>
      </c>
      <c r="BB8">
        <v>25.114862500000001</v>
      </c>
      <c r="BC8" s="4">
        <v>0.97878449999999995</v>
      </c>
      <c r="BD8" s="7">
        <v>0.305716611468487</v>
      </c>
      <c r="BE8">
        <v>63.194499999999998</v>
      </c>
      <c r="BF8">
        <v>67.995800000000003</v>
      </c>
      <c r="BG8">
        <v>23.551500000000001</v>
      </c>
      <c r="BH8">
        <v>23.818375</v>
      </c>
      <c r="BI8" s="4">
        <v>0.97074550000000004</v>
      </c>
      <c r="BJ8" s="7">
        <v>0.31507845809983998</v>
      </c>
      <c r="BK8">
        <v>61.611199999999997</v>
      </c>
      <c r="BL8">
        <v>65.712199999999996</v>
      </c>
      <c r="BM8">
        <v>25.4636</v>
      </c>
      <c r="BN8">
        <v>27.092925000000001</v>
      </c>
      <c r="BO8" s="4">
        <v>0.98077619999999999</v>
      </c>
      <c r="BP8" s="7">
        <v>0.30604024824249398</v>
      </c>
      <c r="BQ8">
        <v>61.619500000000002</v>
      </c>
      <c r="BR8">
        <v>66.384699999999995</v>
      </c>
      <c r="BS8">
        <v>23.730899999999998</v>
      </c>
      <c r="BT8">
        <v>25.047575000000002</v>
      </c>
      <c r="BU8" s="4">
        <v>0.97831990000000002</v>
      </c>
      <c r="BV8" s="7">
        <v>0.32708914253736299</v>
      </c>
      <c r="BW8">
        <v>62.813200000000002</v>
      </c>
      <c r="BX8">
        <v>67.293800000000005</v>
      </c>
      <c r="BY8">
        <v>27.6126</v>
      </c>
      <c r="BZ8">
        <v>27.995149999999999</v>
      </c>
      <c r="CA8" s="4">
        <v>0.97571969999999997</v>
      </c>
      <c r="CB8" s="7">
        <v>0.30628673262009198</v>
      </c>
      <c r="CC8">
        <v>61.6126</v>
      </c>
      <c r="CD8">
        <v>65.829400000000007</v>
      </c>
      <c r="CE8">
        <v>24.563800000000001</v>
      </c>
      <c r="CF8">
        <v>26.102525000000004</v>
      </c>
      <c r="CG8" s="4">
        <v>0.97981099999999999</v>
      </c>
      <c r="CH8" s="7">
        <v>0.315961750222158</v>
      </c>
      <c r="CI8">
        <v>63.195700000000002</v>
      </c>
      <c r="CJ8">
        <v>67.849400000000003</v>
      </c>
      <c r="CK8">
        <v>27.435500000000001</v>
      </c>
      <c r="CL8">
        <v>28.52535</v>
      </c>
      <c r="CM8" s="4">
        <v>0.98210330000000001</v>
      </c>
      <c r="CN8" s="7">
        <v>0.30150600633073099</v>
      </c>
      <c r="CO8">
        <v>62.125300000000003</v>
      </c>
      <c r="CP8">
        <v>66.759500000000003</v>
      </c>
      <c r="CQ8">
        <v>26.912400000000002</v>
      </c>
      <c r="CR8">
        <v>28.344362500000003</v>
      </c>
      <c r="CS8" s="4">
        <v>0.98395980000000005</v>
      </c>
      <c r="CT8" s="7">
        <v>0.31622486359269603</v>
      </c>
      <c r="CU8">
        <v>61.619799999999998</v>
      </c>
      <c r="CV8">
        <v>65.895300000000006</v>
      </c>
      <c r="CW8">
        <v>24.552199999999999</v>
      </c>
      <c r="CX8">
        <v>25.627424999999999</v>
      </c>
      <c r="CY8" s="4">
        <v>0.97807029999999995</v>
      </c>
      <c r="CZ8" s="7">
        <v>0.29530138812981299</v>
      </c>
      <c r="DA8">
        <v>61.621099999999998</v>
      </c>
      <c r="DB8">
        <v>65.707499999999996</v>
      </c>
      <c r="DC8">
        <v>30.57</v>
      </c>
      <c r="DD8">
        <v>31.317875000000001</v>
      </c>
      <c r="DE8" s="4">
        <v>0.98335870000000003</v>
      </c>
      <c r="DF8" s="7">
        <v>0.31122604510969099</v>
      </c>
      <c r="DG8">
        <v>61.579000000000001</v>
      </c>
      <c r="DH8">
        <v>65.854100000000003</v>
      </c>
      <c r="DI8">
        <v>24.437799999999999</v>
      </c>
      <c r="DJ8">
        <v>25.9337625</v>
      </c>
      <c r="DK8" s="4">
        <v>0.98625130000000005</v>
      </c>
      <c r="DL8" s="7">
        <v>0.32195752878873901</v>
      </c>
      <c r="DM8">
        <v>62.808999999999997</v>
      </c>
      <c r="DN8">
        <v>67.641300000000001</v>
      </c>
      <c r="DO8">
        <v>27.407</v>
      </c>
      <c r="DP8">
        <v>28.022862500000002</v>
      </c>
      <c r="DQ8" s="4">
        <v>0.97907279999999997</v>
      </c>
      <c r="DR8" s="7">
        <v>0.29207780928563198</v>
      </c>
      <c r="DS8">
        <v>58.6051</v>
      </c>
      <c r="DT8">
        <v>62.5336</v>
      </c>
      <c r="DU8">
        <v>24.0138</v>
      </c>
      <c r="DV8">
        <v>25.812237499999998</v>
      </c>
      <c r="DW8" s="4">
        <v>0.97765610000000003</v>
      </c>
      <c r="DX8" s="7">
        <v>0.31917700920251801</v>
      </c>
      <c r="DY8">
        <v>52.588200000000001</v>
      </c>
      <c r="DZ8">
        <v>56.122900000000001</v>
      </c>
      <c r="EA8">
        <v>20.9772</v>
      </c>
      <c r="EB8">
        <v>23.6445875</v>
      </c>
      <c r="EC8" s="4">
        <v>0.96612989999999999</v>
      </c>
      <c r="ED8" s="7">
        <v>0.29518091838390298</v>
      </c>
      <c r="EE8">
        <v>50.083100000000002</v>
      </c>
      <c r="EF8">
        <v>53.271599999999999</v>
      </c>
      <c r="EG8">
        <v>25.855899999999998</v>
      </c>
      <c r="EH8">
        <v>28.341587499999999</v>
      </c>
      <c r="EI8" s="4">
        <v>0.97551670000000001</v>
      </c>
      <c r="EJ8" s="7">
        <v>0.31551975246716901</v>
      </c>
      <c r="EK8">
        <v>57.185400000000001</v>
      </c>
      <c r="EL8">
        <v>62.068300000000001</v>
      </c>
      <c r="EM8">
        <v>25.359400000000001</v>
      </c>
      <c r="EN8">
        <v>27.013225000000002</v>
      </c>
      <c r="EO8" s="4">
        <v>0.97659039999999997</v>
      </c>
      <c r="EP8" s="7">
        <v>0.31068261078097398</v>
      </c>
      <c r="EQ8">
        <v>61.563800000000001</v>
      </c>
      <c r="ER8">
        <v>66.286799999999999</v>
      </c>
      <c r="ES8">
        <v>19.007100000000001</v>
      </c>
      <c r="ET8">
        <v>20.459625000000003</v>
      </c>
      <c r="EU8" s="4">
        <v>0.96250970000000002</v>
      </c>
    </row>
    <row r="9" spans="1:151">
      <c r="A9" s="46"/>
      <c r="B9" s="7">
        <v>1.0985031486211501</v>
      </c>
      <c r="C9">
        <v>66.975800000000007</v>
      </c>
      <c r="D9">
        <v>71.807599999999994</v>
      </c>
      <c r="E9">
        <v>29.898199999999999</v>
      </c>
      <c r="F9">
        <v>30.643324999999997</v>
      </c>
      <c r="G9" s="4">
        <v>0.98793129999999996</v>
      </c>
      <c r="H9" s="7">
        <v>1.0384250836747699</v>
      </c>
      <c r="I9">
        <v>66.9756</v>
      </c>
      <c r="J9">
        <v>71.781899999999993</v>
      </c>
      <c r="K9">
        <v>30.573599999999999</v>
      </c>
      <c r="L9">
        <v>31.112387500000001</v>
      </c>
      <c r="M9" s="4">
        <v>0.98727370000000003</v>
      </c>
      <c r="N9" s="7">
        <v>0.99269886294605802</v>
      </c>
      <c r="O9">
        <v>66.969399999999993</v>
      </c>
      <c r="P9">
        <v>71.763900000000007</v>
      </c>
      <c r="Q9">
        <v>27.002600000000001</v>
      </c>
      <c r="R9">
        <v>28.363687500000001</v>
      </c>
      <c r="S9" s="4">
        <v>0.98731519999999995</v>
      </c>
      <c r="T9" s="7">
        <v>1.06029314467297</v>
      </c>
      <c r="U9">
        <v>66.969499999999996</v>
      </c>
      <c r="V9">
        <v>71.783199999999994</v>
      </c>
      <c r="W9">
        <v>25.208600000000001</v>
      </c>
      <c r="X9">
        <v>26.702749999999998</v>
      </c>
      <c r="Y9" s="4">
        <v>0.98690270000000002</v>
      </c>
      <c r="Z9" s="7">
        <v>1.08356810606854</v>
      </c>
      <c r="AA9">
        <v>67.7697</v>
      </c>
      <c r="AB9">
        <v>72.578699999999998</v>
      </c>
      <c r="AC9">
        <v>26.773800000000001</v>
      </c>
      <c r="AD9">
        <v>27.705625000000005</v>
      </c>
      <c r="AE9" s="4">
        <v>0.98619579999999996</v>
      </c>
      <c r="AF9" s="7">
        <v>1.0982496939130799</v>
      </c>
      <c r="AG9">
        <v>66.9739</v>
      </c>
      <c r="AH9">
        <v>72.159599999999998</v>
      </c>
      <c r="AI9">
        <v>24.058299999999999</v>
      </c>
      <c r="AJ9">
        <v>25.32535</v>
      </c>
      <c r="AK9" s="4">
        <v>0.98212699999999997</v>
      </c>
      <c r="AL9" s="7">
        <v>1.0080389990371901</v>
      </c>
      <c r="AM9">
        <v>66.978399999999993</v>
      </c>
      <c r="AN9">
        <v>71.792000000000002</v>
      </c>
      <c r="AO9">
        <v>24.616800000000001</v>
      </c>
      <c r="AP9">
        <v>25.806950000000001</v>
      </c>
      <c r="AQ9" s="4">
        <v>0.98119469999999998</v>
      </c>
      <c r="AR9" s="7">
        <v>1.06784920695732</v>
      </c>
      <c r="AS9">
        <v>67.765100000000004</v>
      </c>
      <c r="AT9">
        <v>72.587800000000001</v>
      </c>
      <c r="AU9">
        <v>27.065200000000001</v>
      </c>
      <c r="AV9">
        <v>28.843912499999998</v>
      </c>
      <c r="AW9" s="4">
        <v>0.9864773</v>
      </c>
      <c r="AX9" s="7">
        <v>0.98055580826904798</v>
      </c>
      <c r="AY9">
        <v>66.729600000000005</v>
      </c>
      <c r="AZ9">
        <v>71.503399999999999</v>
      </c>
      <c r="BA9">
        <v>25.5687</v>
      </c>
      <c r="BB9">
        <v>26.538899999999998</v>
      </c>
      <c r="BC9" s="4">
        <v>0.98281320000000005</v>
      </c>
      <c r="BD9" s="7">
        <v>0.94977621962508296</v>
      </c>
      <c r="BE9">
        <v>66.960599999999999</v>
      </c>
      <c r="BF9">
        <v>71.744699999999995</v>
      </c>
      <c r="BG9">
        <v>27.922699999999999</v>
      </c>
      <c r="BH9">
        <v>29.225200000000001</v>
      </c>
      <c r="BI9" s="4">
        <v>0.9871936</v>
      </c>
      <c r="BJ9" s="7">
        <v>1.0999302390688701</v>
      </c>
      <c r="BK9">
        <v>66.9726</v>
      </c>
      <c r="BL9">
        <v>71.763599999999997</v>
      </c>
      <c r="BM9">
        <v>26.877300000000002</v>
      </c>
      <c r="BN9">
        <v>28.2281625</v>
      </c>
      <c r="BO9" s="4">
        <v>0.98438289999999995</v>
      </c>
      <c r="BP9" s="7">
        <v>1.09232290886247</v>
      </c>
      <c r="BQ9">
        <v>66.929900000000004</v>
      </c>
      <c r="BR9">
        <v>71.649900000000002</v>
      </c>
      <c r="BS9">
        <v>26.332899999999999</v>
      </c>
      <c r="BT9">
        <v>27.561899999999998</v>
      </c>
      <c r="BU9" s="4">
        <v>0.98712860000000002</v>
      </c>
      <c r="BV9" s="7">
        <v>1.0334561909632101</v>
      </c>
      <c r="BW9">
        <v>67.790800000000004</v>
      </c>
      <c r="BX9">
        <v>72.677700000000002</v>
      </c>
      <c r="BY9">
        <v>28.895800000000001</v>
      </c>
      <c r="BZ9">
        <v>28.963899999999999</v>
      </c>
      <c r="CA9" s="4">
        <v>0.98166600000000004</v>
      </c>
      <c r="CB9" s="7">
        <v>1.07447529187747</v>
      </c>
      <c r="CC9">
        <v>66.978999999999999</v>
      </c>
      <c r="CD9">
        <v>71.825400000000002</v>
      </c>
      <c r="CE9">
        <v>27.021799999999999</v>
      </c>
      <c r="CF9">
        <v>28.354712500000002</v>
      </c>
      <c r="CG9" s="4">
        <v>0.98798929999999996</v>
      </c>
      <c r="CH9" s="7">
        <v>1.0339024545239499</v>
      </c>
      <c r="CI9">
        <v>67.740200000000002</v>
      </c>
      <c r="CJ9">
        <v>72.476600000000005</v>
      </c>
      <c r="CK9">
        <v>28.713000000000001</v>
      </c>
      <c r="CL9">
        <v>29.485600000000002</v>
      </c>
      <c r="CM9" s="4">
        <v>0.98447479999999998</v>
      </c>
      <c r="CN9" s="7">
        <v>0.92700981066787203</v>
      </c>
      <c r="CO9">
        <v>67.366200000000006</v>
      </c>
      <c r="CP9">
        <v>72.208399999999997</v>
      </c>
      <c r="CQ9">
        <v>28.7605</v>
      </c>
      <c r="CR9">
        <v>29.738325</v>
      </c>
      <c r="CS9" s="4">
        <v>0.98629710000000004</v>
      </c>
      <c r="CT9" s="7">
        <v>1.0827645739114899</v>
      </c>
      <c r="CU9">
        <v>66.965900000000005</v>
      </c>
      <c r="CV9">
        <v>71.762600000000006</v>
      </c>
      <c r="CW9">
        <v>26.1236</v>
      </c>
      <c r="CX9">
        <v>26.817512499999999</v>
      </c>
      <c r="CY9" s="4">
        <v>0.98303810000000003</v>
      </c>
      <c r="CZ9" s="7">
        <v>1.01789753277748</v>
      </c>
      <c r="DA9">
        <v>66.976100000000002</v>
      </c>
      <c r="DB9">
        <v>71.822199999999995</v>
      </c>
      <c r="DC9">
        <v>31.334</v>
      </c>
      <c r="DD9">
        <v>31.795849999999998</v>
      </c>
      <c r="DE9" s="4">
        <v>0.98627390000000004</v>
      </c>
      <c r="DF9" s="7">
        <v>1.0640269904608499</v>
      </c>
      <c r="DG9">
        <v>66.9679</v>
      </c>
      <c r="DH9">
        <v>71.820999999999998</v>
      </c>
      <c r="DI9">
        <v>26.987400000000001</v>
      </c>
      <c r="DJ9">
        <v>28.395387499999998</v>
      </c>
      <c r="DK9" s="4">
        <v>0.99281067999999995</v>
      </c>
      <c r="DL9" s="7">
        <v>0.95238985358029504</v>
      </c>
      <c r="DM9">
        <v>67.8018</v>
      </c>
      <c r="DN9">
        <v>72.693200000000004</v>
      </c>
      <c r="DO9">
        <v>28.4224</v>
      </c>
      <c r="DP9">
        <v>28.752850000000002</v>
      </c>
      <c r="DQ9" s="4">
        <v>0.98305989999999999</v>
      </c>
      <c r="DR9" s="7">
        <v>1.0717193173375701</v>
      </c>
      <c r="DS9">
        <v>64.238900000000001</v>
      </c>
      <c r="DT9">
        <v>69.018799999999999</v>
      </c>
      <c r="DU9">
        <v>25.513000000000002</v>
      </c>
      <c r="DV9">
        <v>27.038625000000003</v>
      </c>
      <c r="DW9" s="4">
        <v>0.98357110000000003</v>
      </c>
      <c r="DX9" s="7">
        <v>0.98326624472750501</v>
      </c>
      <c r="DY9">
        <v>58.228000000000002</v>
      </c>
      <c r="DZ9">
        <v>62.409199999999998</v>
      </c>
      <c r="EA9">
        <v>23.575800000000001</v>
      </c>
      <c r="EB9">
        <v>25.740900000000003</v>
      </c>
      <c r="EC9" s="4">
        <v>0.98129699999999997</v>
      </c>
      <c r="ED9" s="7">
        <v>0.96220671750770703</v>
      </c>
      <c r="EE9">
        <v>56.584000000000003</v>
      </c>
      <c r="EF9">
        <v>60.529000000000003</v>
      </c>
      <c r="EG9">
        <v>27.750399999999999</v>
      </c>
      <c r="EH9">
        <v>29.388199999999998</v>
      </c>
      <c r="EI9" s="4">
        <v>0.98178160000000003</v>
      </c>
      <c r="EJ9" s="7">
        <v>1.02403413245665</v>
      </c>
      <c r="EK9">
        <v>61.613700000000001</v>
      </c>
      <c r="EL9">
        <v>66.443799999999996</v>
      </c>
      <c r="EM9">
        <v>26.579000000000001</v>
      </c>
      <c r="EN9">
        <v>28.031199999999998</v>
      </c>
      <c r="EO9" s="4">
        <v>0.98073589999999999</v>
      </c>
      <c r="EP9" s="7">
        <v>1.04852332680285</v>
      </c>
      <c r="EQ9">
        <v>66.711200000000005</v>
      </c>
      <c r="ER9">
        <v>71.547499999999999</v>
      </c>
      <c r="ES9">
        <v>20.631799999999998</v>
      </c>
      <c r="ET9">
        <v>21.788987499999998</v>
      </c>
      <c r="EU9" s="4">
        <v>0.97266600000000003</v>
      </c>
    </row>
    <row r="10" spans="1:151">
      <c r="A10" s="46"/>
      <c r="B10" s="7">
        <v>3.2340238234692702</v>
      </c>
      <c r="C10">
        <v>70.514600000000002</v>
      </c>
      <c r="D10">
        <v>75.264799999999994</v>
      </c>
      <c r="E10">
        <v>36.31</v>
      </c>
      <c r="F10">
        <v>37.323475000000002</v>
      </c>
      <c r="G10" s="4">
        <v>0.99610403999999997</v>
      </c>
      <c r="H10" s="7">
        <v>3.0886475760869798</v>
      </c>
      <c r="I10">
        <v>70.502200000000002</v>
      </c>
      <c r="J10">
        <v>75.261399999999995</v>
      </c>
      <c r="K10">
        <v>37.354199999999999</v>
      </c>
      <c r="L10">
        <v>38.176537499999995</v>
      </c>
      <c r="M10" s="4">
        <v>0.99521227000000001</v>
      </c>
      <c r="N10" s="7">
        <v>2.9081519772154301</v>
      </c>
      <c r="O10">
        <v>70.553399999999996</v>
      </c>
      <c r="P10">
        <v>75.410300000000007</v>
      </c>
      <c r="Q10">
        <v>32.110599999999998</v>
      </c>
      <c r="R10">
        <v>33.606062499999993</v>
      </c>
      <c r="S10" s="4">
        <v>0.99512785999999998</v>
      </c>
      <c r="T10" s="7">
        <v>2.8645576696355901</v>
      </c>
      <c r="U10">
        <v>70.554599999999994</v>
      </c>
      <c r="V10">
        <v>75.426400000000001</v>
      </c>
      <c r="W10">
        <v>30.139900000000001</v>
      </c>
      <c r="X10">
        <v>31.634862500000004</v>
      </c>
      <c r="Y10" s="4">
        <v>0.99470139000000002</v>
      </c>
      <c r="Z10" s="7">
        <v>2.9245407909098602</v>
      </c>
      <c r="AA10">
        <v>70.674199999999999</v>
      </c>
      <c r="AB10">
        <v>75.758300000000006</v>
      </c>
      <c r="AC10">
        <v>32.119799999999998</v>
      </c>
      <c r="AD10">
        <v>33.788437500000001</v>
      </c>
      <c r="AE10" s="4">
        <v>0.99485047999999998</v>
      </c>
      <c r="AF10" s="7">
        <v>3.0761682647942998</v>
      </c>
      <c r="AG10">
        <v>70.505099999999999</v>
      </c>
      <c r="AH10">
        <v>75.402500000000003</v>
      </c>
      <c r="AI10">
        <v>28.189699999999998</v>
      </c>
      <c r="AJ10">
        <v>29.463499999999996</v>
      </c>
      <c r="AK10" s="4">
        <v>0.99285902999999998</v>
      </c>
      <c r="AL10" s="7">
        <v>3.1176289143585998</v>
      </c>
      <c r="AM10">
        <v>70.4452</v>
      </c>
      <c r="AN10">
        <v>75.099800000000002</v>
      </c>
      <c r="AO10">
        <v>30.004100000000001</v>
      </c>
      <c r="AP10">
        <v>31.469475000000003</v>
      </c>
      <c r="AQ10" s="4">
        <v>0.99273166000000002</v>
      </c>
      <c r="AR10" s="7">
        <v>3.1477951881081898</v>
      </c>
      <c r="AS10">
        <v>70.518600000000006</v>
      </c>
      <c r="AT10">
        <v>75.363200000000006</v>
      </c>
      <c r="AU10">
        <v>32.7624</v>
      </c>
      <c r="AV10">
        <v>34.795899999999996</v>
      </c>
      <c r="AW10" s="4">
        <v>0.99459335999999998</v>
      </c>
      <c r="AX10" s="7">
        <v>3.0624518721565201</v>
      </c>
      <c r="AY10">
        <v>70.502200000000002</v>
      </c>
      <c r="AZ10">
        <v>75.271799999999999</v>
      </c>
      <c r="BA10">
        <v>30.897600000000001</v>
      </c>
      <c r="BB10">
        <v>31.730474999999998</v>
      </c>
      <c r="BC10" s="4">
        <v>0.99283262999999999</v>
      </c>
      <c r="BD10" s="7">
        <v>3.09193891074939</v>
      </c>
      <c r="BE10">
        <v>70.359099999999998</v>
      </c>
      <c r="BF10">
        <v>74.854399999999998</v>
      </c>
      <c r="BG10">
        <v>34.613999999999997</v>
      </c>
      <c r="BH10">
        <v>35.855574999999995</v>
      </c>
      <c r="BI10" s="4">
        <v>0.99571803000000003</v>
      </c>
      <c r="BJ10" s="7">
        <v>3.1822068319817101</v>
      </c>
      <c r="BK10">
        <v>70.516599999999997</v>
      </c>
      <c r="BL10">
        <v>75.283000000000001</v>
      </c>
      <c r="BM10">
        <v>31.856200000000001</v>
      </c>
      <c r="BN10">
        <v>33.231437499999998</v>
      </c>
      <c r="BO10" s="4">
        <v>0.99270513999999999</v>
      </c>
      <c r="BP10" s="7">
        <v>3.1875463545367002</v>
      </c>
      <c r="BQ10">
        <v>70.493099999999998</v>
      </c>
      <c r="BR10">
        <v>75.215299999999999</v>
      </c>
      <c r="BS10">
        <v>31.6327</v>
      </c>
      <c r="BT10">
        <v>32.926949999999998</v>
      </c>
      <c r="BU10" s="4">
        <v>0.99503319000000001</v>
      </c>
      <c r="BV10" s="7">
        <v>3.0324238009320399</v>
      </c>
      <c r="BW10">
        <v>70.565299999999993</v>
      </c>
      <c r="BX10">
        <v>75.516000000000005</v>
      </c>
      <c r="BY10">
        <v>38.460599999999999</v>
      </c>
      <c r="BZ10">
        <v>39.140749999999997</v>
      </c>
      <c r="CA10" s="4">
        <v>0.99513529000000001</v>
      </c>
      <c r="CB10" s="7">
        <v>3.1618218769262598</v>
      </c>
      <c r="CC10">
        <v>70.543899999999994</v>
      </c>
      <c r="CD10">
        <v>75.459800000000001</v>
      </c>
      <c r="CE10">
        <v>32.396700000000003</v>
      </c>
      <c r="CF10">
        <v>33.811187500000003</v>
      </c>
      <c r="CG10" s="4">
        <v>0.99649662999999999</v>
      </c>
      <c r="CH10" s="7">
        <v>3.0808322941636601</v>
      </c>
      <c r="CI10">
        <v>70.538899999999998</v>
      </c>
      <c r="CJ10">
        <v>75.3386</v>
      </c>
      <c r="CK10">
        <v>36.144799999999996</v>
      </c>
      <c r="CL10">
        <v>36.832099999999997</v>
      </c>
      <c r="CM10" s="4">
        <v>0.99461843999999999</v>
      </c>
      <c r="CN10" s="7">
        <v>3.0598863614021901</v>
      </c>
      <c r="CO10">
        <v>70.470799999999997</v>
      </c>
      <c r="CP10">
        <v>75.156099999999995</v>
      </c>
      <c r="CQ10">
        <v>36.2121</v>
      </c>
      <c r="CR10">
        <v>37.079612500000003</v>
      </c>
      <c r="CS10" s="4">
        <v>0.99425967000000004</v>
      </c>
      <c r="CT10" s="7">
        <v>3.2017308776256099</v>
      </c>
      <c r="CU10">
        <v>70.535300000000007</v>
      </c>
      <c r="CV10">
        <v>75.353300000000004</v>
      </c>
      <c r="CW10">
        <v>32.211399999999998</v>
      </c>
      <c r="CX10">
        <v>33.278287499999998</v>
      </c>
      <c r="CY10" s="4">
        <v>0.99363634999999995</v>
      </c>
      <c r="CZ10" s="7">
        <v>3.1291292640258299</v>
      </c>
      <c r="DA10">
        <v>70.510900000000007</v>
      </c>
      <c r="DB10">
        <v>75.326099999999997</v>
      </c>
      <c r="DC10">
        <v>37.590299999999999</v>
      </c>
      <c r="DD10">
        <v>38.382637500000001</v>
      </c>
      <c r="DE10" s="4">
        <v>0.99502334000000003</v>
      </c>
      <c r="DF10" s="7">
        <v>2.8715384220170899</v>
      </c>
      <c r="DG10">
        <v>70.119200000000006</v>
      </c>
      <c r="DH10">
        <v>74.249099999999999</v>
      </c>
      <c r="DI10">
        <v>32.040100000000002</v>
      </c>
      <c r="DJ10">
        <v>33.456012500000007</v>
      </c>
      <c r="DK10" s="4">
        <v>0.99732471</v>
      </c>
      <c r="DL10" s="7">
        <v>3.0532359915401202</v>
      </c>
      <c r="DM10">
        <v>70.401600000000002</v>
      </c>
      <c r="DN10">
        <v>74.990499999999997</v>
      </c>
      <c r="DO10">
        <v>35.491500000000002</v>
      </c>
      <c r="DP10">
        <v>36.451625</v>
      </c>
      <c r="DQ10" s="4">
        <v>0.99465214000000002</v>
      </c>
      <c r="DR10" s="7">
        <v>3.1763370201010801</v>
      </c>
      <c r="DS10">
        <v>68.617099999999994</v>
      </c>
      <c r="DT10">
        <v>73.420900000000003</v>
      </c>
      <c r="DU10">
        <v>26.837499999999999</v>
      </c>
      <c r="DV10">
        <v>28.001712499999996</v>
      </c>
      <c r="DW10" s="4">
        <v>0.9875159</v>
      </c>
      <c r="DX10" s="7">
        <v>2.96584973548519</v>
      </c>
      <c r="DY10">
        <v>63.417400000000001</v>
      </c>
      <c r="DZ10">
        <v>68.184799999999996</v>
      </c>
      <c r="EA10">
        <v>26.8995</v>
      </c>
      <c r="EB10">
        <v>28.185187499999998</v>
      </c>
      <c r="EC10" s="4">
        <v>0.98562850000000002</v>
      </c>
      <c r="ED10" s="7">
        <v>2.9753042349505101</v>
      </c>
      <c r="EE10">
        <v>61.628</v>
      </c>
      <c r="EF10">
        <v>66.308499999999995</v>
      </c>
      <c r="EG10">
        <v>31.635000000000002</v>
      </c>
      <c r="EH10">
        <v>32.6991625</v>
      </c>
      <c r="EI10" s="4">
        <v>0.98768820000000002</v>
      </c>
      <c r="EJ10" s="7">
        <v>2.9860098022033799</v>
      </c>
      <c r="EK10">
        <v>66.254999999999995</v>
      </c>
      <c r="EL10">
        <v>71.045299999999997</v>
      </c>
      <c r="EM10">
        <v>27.196200000000001</v>
      </c>
      <c r="EN10">
        <v>28.078200000000002</v>
      </c>
      <c r="EO10" s="4">
        <v>0.98325709999999999</v>
      </c>
      <c r="EP10" s="7">
        <v>3.1015583718793902</v>
      </c>
      <c r="EQ10">
        <v>70.421899999999994</v>
      </c>
      <c r="ER10">
        <v>75.086299999999994</v>
      </c>
      <c r="ES10">
        <v>24.645499999999998</v>
      </c>
      <c r="ET10">
        <v>25.820999999999998</v>
      </c>
      <c r="EU10" s="4">
        <v>0.98913240000000002</v>
      </c>
    </row>
    <row r="11" spans="1:151">
      <c r="A11" s="45" t="s">
        <v>41</v>
      </c>
      <c r="B11" s="8">
        <v>0.103798793230724</v>
      </c>
      <c r="C11" s="2">
        <v>62.001100000000001</v>
      </c>
      <c r="D11" s="2">
        <v>63.750799999999998</v>
      </c>
      <c r="E11" s="2">
        <v>29.6493</v>
      </c>
      <c r="F11" s="2">
        <v>32.564087499999999</v>
      </c>
      <c r="G11" s="3">
        <v>0.98736919999999995</v>
      </c>
      <c r="H11" s="8">
        <v>9.8432722317265797E-2</v>
      </c>
      <c r="I11" s="2">
        <v>63.942399999999999</v>
      </c>
      <c r="J11" s="2">
        <v>65.613900000000001</v>
      </c>
      <c r="K11" s="2">
        <v>32.598300000000002</v>
      </c>
      <c r="L11" s="2">
        <v>35.296887500000004</v>
      </c>
      <c r="M11" s="3">
        <v>0.99016700000000002</v>
      </c>
      <c r="N11" s="8">
        <v>0.10096517220784899</v>
      </c>
      <c r="O11" s="2">
        <v>63.042099999999998</v>
      </c>
      <c r="P11" s="2">
        <v>64.602099999999993</v>
      </c>
      <c r="Q11" s="2">
        <v>26.6983</v>
      </c>
      <c r="R11" s="2">
        <v>29.617149999999999</v>
      </c>
      <c r="S11" s="3">
        <v>0.98713850000000003</v>
      </c>
      <c r="T11" s="8">
        <v>9.7702064710729897E-2</v>
      </c>
      <c r="U11" s="2">
        <v>61.0428</v>
      </c>
      <c r="V11" s="2">
        <v>63.141500000000001</v>
      </c>
      <c r="W11" s="2">
        <v>22.466799999999999</v>
      </c>
      <c r="X11" s="2">
        <v>25.639449999999997</v>
      </c>
      <c r="Y11" s="3">
        <v>0.97790299999999997</v>
      </c>
      <c r="Z11" s="8">
        <v>9.5167358978189606E-2</v>
      </c>
      <c r="AA11" s="2">
        <v>66.439800000000005</v>
      </c>
      <c r="AB11" s="2">
        <v>68.2684</v>
      </c>
      <c r="AC11" s="2">
        <v>26.975200000000001</v>
      </c>
      <c r="AD11" s="2">
        <v>31.017575000000001</v>
      </c>
      <c r="AE11" s="3">
        <v>0.98740079999999997</v>
      </c>
      <c r="AF11" s="8">
        <v>9.9138829978201698E-2</v>
      </c>
      <c r="AG11" s="2">
        <v>55.609699999999997</v>
      </c>
      <c r="AH11" s="2">
        <v>56.1526</v>
      </c>
      <c r="AI11" s="2">
        <v>21.260300000000001</v>
      </c>
      <c r="AJ11" s="2">
        <v>23.3916</v>
      </c>
      <c r="AK11" s="3">
        <v>0.96667729999999996</v>
      </c>
      <c r="AL11" s="8">
        <v>0.101449232200073</v>
      </c>
      <c r="AM11" s="2">
        <v>64.515699999999995</v>
      </c>
      <c r="AN11" s="2">
        <v>66.142700000000005</v>
      </c>
      <c r="AO11" s="2">
        <v>25.7087</v>
      </c>
      <c r="AP11" s="2">
        <v>28.169075000000003</v>
      </c>
      <c r="AQ11" s="3">
        <v>0.9859793</v>
      </c>
      <c r="AR11" s="8">
        <v>9.7578729599264405E-2</v>
      </c>
      <c r="AS11" s="2">
        <v>64.127399999999994</v>
      </c>
      <c r="AT11" s="2">
        <v>65.7393</v>
      </c>
      <c r="AU11" s="2">
        <v>27.187000000000001</v>
      </c>
      <c r="AV11" s="2">
        <v>30.898562500000001</v>
      </c>
      <c r="AW11" s="3">
        <v>0.98811479999999996</v>
      </c>
      <c r="AX11" s="8">
        <v>0.10422617667223</v>
      </c>
      <c r="AY11" s="2">
        <v>64.537099999999995</v>
      </c>
      <c r="AZ11" s="2">
        <v>66.368899999999996</v>
      </c>
      <c r="BA11" s="2">
        <v>26.8629</v>
      </c>
      <c r="BB11" s="2">
        <v>29.142675000000004</v>
      </c>
      <c r="BC11" s="3">
        <v>0.98765579999999997</v>
      </c>
      <c r="BD11" s="8"/>
      <c r="BE11" s="2"/>
      <c r="BF11" s="2"/>
      <c r="BG11" s="2"/>
      <c r="BH11" s="2"/>
      <c r="BI11" s="3"/>
      <c r="BJ11" s="8">
        <v>9.8450114049943305E-2</v>
      </c>
      <c r="BK11" s="2">
        <v>71.606099999999998</v>
      </c>
      <c r="BL11" s="2">
        <v>75.162400000000005</v>
      </c>
      <c r="BM11" s="2">
        <v>27.9543</v>
      </c>
      <c r="BN11" s="2">
        <v>30.017937499999999</v>
      </c>
      <c r="BO11" s="3">
        <v>0.98754180000000003</v>
      </c>
      <c r="BP11" s="8">
        <v>9.5816138343719798E-2</v>
      </c>
      <c r="BQ11" s="2">
        <v>63.889899999999997</v>
      </c>
      <c r="BR11" s="2">
        <v>65.303200000000004</v>
      </c>
      <c r="BS11" s="2">
        <v>24.6404</v>
      </c>
      <c r="BT11" s="2">
        <v>26.745987499999998</v>
      </c>
      <c r="BU11" s="3">
        <v>0.98412809999999995</v>
      </c>
      <c r="BV11" s="8">
        <v>0.10617214862557001</v>
      </c>
      <c r="BW11" s="2">
        <v>68.067499999999995</v>
      </c>
      <c r="BX11" s="2">
        <v>70.721999999999994</v>
      </c>
      <c r="BY11" s="2">
        <v>35.005699999999997</v>
      </c>
      <c r="BZ11" s="2">
        <v>37.414450000000002</v>
      </c>
      <c r="CA11" s="3">
        <v>0.99069225999999999</v>
      </c>
      <c r="CB11" s="8">
        <v>0.104874491159759</v>
      </c>
      <c r="CC11" s="2">
        <v>55.641599999999997</v>
      </c>
      <c r="CD11" s="2">
        <v>56.043300000000002</v>
      </c>
      <c r="CE11" s="2">
        <v>23.7897</v>
      </c>
      <c r="CF11" s="2">
        <v>26.134487499999999</v>
      </c>
      <c r="CG11" s="3">
        <v>0.97555670000000005</v>
      </c>
      <c r="CH11" s="8">
        <v>9.9708199074696205E-2</v>
      </c>
      <c r="CI11" s="2">
        <v>72.126499999999993</v>
      </c>
      <c r="CJ11" s="2">
        <v>76.468800000000002</v>
      </c>
      <c r="CK11" s="2">
        <v>32.399700000000003</v>
      </c>
      <c r="CL11" s="2">
        <v>33.491825000000006</v>
      </c>
      <c r="CM11" s="3">
        <v>0.99060203999999996</v>
      </c>
      <c r="CN11" s="8">
        <v>9.7851090183433895E-2</v>
      </c>
      <c r="CO11" s="2">
        <v>63.3673</v>
      </c>
      <c r="CP11" s="2">
        <v>64.835300000000004</v>
      </c>
      <c r="CQ11" s="2">
        <v>29.611799999999999</v>
      </c>
      <c r="CR11" s="2">
        <v>31.486699999999999</v>
      </c>
      <c r="CS11" s="3">
        <v>0.98885020000000001</v>
      </c>
      <c r="CT11" s="8">
        <v>0.100642020007001</v>
      </c>
      <c r="CU11" s="2">
        <v>62.2547</v>
      </c>
      <c r="CV11" s="2">
        <v>64.8262</v>
      </c>
      <c r="CW11" s="2">
        <v>26.244</v>
      </c>
      <c r="CX11" s="2">
        <v>28.188849999999999</v>
      </c>
      <c r="CY11" s="3">
        <v>0.98498540000000001</v>
      </c>
      <c r="CZ11" s="8">
        <v>9.8632334016292803E-2</v>
      </c>
      <c r="DA11" s="2">
        <v>62.562800000000003</v>
      </c>
      <c r="DB11" s="2">
        <v>64.980699999999999</v>
      </c>
      <c r="DC11" s="2">
        <v>35.069299999999998</v>
      </c>
      <c r="DD11" s="2">
        <v>37.679324999999999</v>
      </c>
      <c r="DE11" s="3">
        <v>0.99033541000000003</v>
      </c>
      <c r="DF11" s="8">
        <v>0.106783579661249</v>
      </c>
      <c r="DG11" s="2">
        <v>56.164999999999999</v>
      </c>
      <c r="DH11" s="2">
        <v>56.953600000000002</v>
      </c>
      <c r="DI11" s="2">
        <v>24.130500000000001</v>
      </c>
      <c r="DJ11" s="2">
        <v>26.887999999999998</v>
      </c>
      <c r="DK11" s="3">
        <v>0.98561080000000001</v>
      </c>
      <c r="DL11" s="8">
        <v>9.4463547327497399E-2</v>
      </c>
      <c r="DM11" s="2">
        <v>67.114699999999999</v>
      </c>
      <c r="DN11" s="2">
        <v>68.987700000000004</v>
      </c>
      <c r="DO11" s="2">
        <v>31.361899999999999</v>
      </c>
      <c r="DP11" s="2">
        <v>33.2404625</v>
      </c>
      <c r="DQ11" s="3">
        <v>0.98829849999999997</v>
      </c>
      <c r="DR11" s="8">
        <v>0.11022633335774901</v>
      </c>
      <c r="DS11" s="2">
        <v>55.823999999999998</v>
      </c>
      <c r="DT11" s="2">
        <v>56.773400000000002</v>
      </c>
      <c r="DU11" s="2">
        <v>23.444700000000001</v>
      </c>
      <c r="DV11" s="2">
        <v>26.594050000000003</v>
      </c>
      <c r="DW11" s="3">
        <v>0.97373969999999999</v>
      </c>
      <c r="DX11" s="8">
        <v>0.39812514922153402</v>
      </c>
      <c r="DY11" s="2">
        <v>55.369300000000003</v>
      </c>
      <c r="DZ11" s="2">
        <v>56.9621</v>
      </c>
      <c r="EA11" s="2">
        <v>21.2578</v>
      </c>
      <c r="EB11" s="2">
        <v>24.823450000000001</v>
      </c>
      <c r="EC11" s="3">
        <v>0.97117209999999998</v>
      </c>
      <c r="ED11" s="8">
        <v>0.49440856725620602</v>
      </c>
      <c r="EE11" s="2">
        <v>54.790500000000002</v>
      </c>
      <c r="EF11" s="2">
        <v>56.402700000000003</v>
      </c>
      <c r="EG11" s="2">
        <v>26.650200000000002</v>
      </c>
      <c r="EH11" s="2">
        <v>29.539037500000003</v>
      </c>
      <c r="EI11" s="3">
        <v>0.97940780000000005</v>
      </c>
      <c r="EJ11" s="8">
        <v>0.18787355036773301</v>
      </c>
      <c r="EK11" s="2">
        <v>56.692700000000002</v>
      </c>
      <c r="EL11" s="2">
        <v>58.598700000000001</v>
      </c>
      <c r="EM11" s="2">
        <v>25.8918</v>
      </c>
      <c r="EN11" s="2">
        <v>28.416225000000001</v>
      </c>
      <c r="EO11" s="3">
        <v>0.97942940000000001</v>
      </c>
      <c r="EP11" s="8">
        <v>0.11933698064432199</v>
      </c>
      <c r="EQ11" s="2">
        <v>56.053600000000003</v>
      </c>
      <c r="ER11" s="2">
        <v>57.052599999999998</v>
      </c>
      <c r="ES11" s="2">
        <v>19.009399999999999</v>
      </c>
      <c r="ET11" s="2">
        <v>21.9253</v>
      </c>
      <c r="EU11" s="3">
        <v>0.96483549999999996</v>
      </c>
    </row>
    <row r="12" spans="1:151">
      <c r="A12" s="46"/>
      <c r="B12" s="7">
        <v>0.31067550660395898</v>
      </c>
      <c r="C12">
        <v>69.058099999999996</v>
      </c>
      <c r="D12">
        <v>72.462299999999999</v>
      </c>
      <c r="E12">
        <v>33.517499999999998</v>
      </c>
      <c r="F12">
        <v>35.962287500000002</v>
      </c>
      <c r="G12" s="4">
        <v>0.99218311999999997</v>
      </c>
      <c r="H12" s="7">
        <v>0.31619460006734601</v>
      </c>
      <c r="I12">
        <v>71.220299999999995</v>
      </c>
      <c r="J12">
        <v>74.604299999999995</v>
      </c>
      <c r="K12">
        <v>37.2226</v>
      </c>
      <c r="L12">
        <v>39.372887500000004</v>
      </c>
      <c r="M12" s="4">
        <v>0.993954</v>
      </c>
      <c r="N12" s="7">
        <v>0.29472090319758798</v>
      </c>
      <c r="O12">
        <v>70.916899999999998</v>
      </c>
      <c r="P12">
        <v>74.191100000000006</v>
      </c>
      <c r="Q12">
        <v>29.088999999999999</v>
      </c>
      <c r="R12">
        <v>31.688387500000001</v>
      </c>
      <c r="S12" s="4">
        <v>0.99134496000000005</v>
      </c>
      <c r="T12" s="7">
        <v>0.29864714791588898</v>
      </c>
      <c r="U12">
        <v>67.179000000000002</v>
      </c>
      <c r="V12">
        <v>70.579400000000007</v>
      </c>
      <c r="W12">
        <v>25.595500000000001</v>
      </c>
      <c r="X12">
        <v>28.445037499999998</v>
      </c>
      <c r="Y12" s="4">
        <v>0.98870809999999998</v>
      </c>
      <c r="Z12" s="7">
        <v>0.30492259810079902</v>
      </c>
      <c r="AA12">
        <v>69.704099999999997</v>
      </c>
      <c r="AB12">
        <v>73.218800000000002</v>
      </c>
      <c r="AC12">
        <v>28.874099999999999</v>
      </c>
      <c r="AD12">
        <v>32.624099999999999</v>
      </c>
      <c r="AE12" s="4">
        <v>0.99158168000000002</v>
      </c>
      <c r="AF12" s="7">
        <v>0.28977264971752997</v>
      </c>
      <c r="AG12">
        <v>66.724999999999994</v>
      </c>
      <c r="AH12">
        <v>68.7179</v>
      </c>
      <c r="AI12">
        <v>25.028400000000001</v>
      </c>
      <c r="AJ12">
        <v>26.923537499999998</v>
      </c>
      <c r="AK12" s="4">
        <v>0.98788880000000001</v>
      </c>
      <c r="AL12" s="7">
        <v>0.31030749011771103</v>
      </c>
      <c r="AM12">
        <v>72.700800000000001</v>
      </c>
      <c r="AN12">
        <v>76.461100000000002</v>
      </c>
      <c r="AO12">
        <v>27.8034</v>
      </c>
      <c r="AP12">
        <v>29.944775</v>
      </c>
      <c r="AQ12" s="4">
        <v>0.98975259999999998</v>
      </c>
      <c r="AR12" s="7">
        <v>0.29603095548233799</v>
      </c>
      <c r="AS12">
        <v>71.9285</v>
      </c>
      <c r="AT12">
        <v>75.5779</v>
      </c>
      <c r="AU12">
        <v>28.348299999999998</v>
      </c>
      <c r="AV12">
        <v>32.037862500000003</v>
      </c>
      <c r="AW12" s="4">
        <v>0.99095860000000002</v>
      </c>
      <c r="AX12" s="7">
        <v>0.305745948694361</v>
      </c>
      <c r="AY12">
        <v>70.094999999999999</v>
      </c>
      <c r="AZ12">
        <v>74.2517</v>
      </c>
      <c r="BA12">
        <v>30.594799999999999</v>
      </c>
      <c r="BB12">
        <v>32.229700000000001</v>
      </c>
      <c r="BC12" s="4">
        <v>0.99243486999999997</v>
      </c>
      <c r="BD12" s="7"/>
      <c r="BI12" s="4"/>
      <c r="BJ12" s="7">
        <v>0.300440136400978</v>
      </c>
      <c r="BK12">
        <v>73.231399999999994</v>
      </c>
      <c r="BL12">
        <v>77.572999999999993</v>
      </c>
      <c r="BM12">
        <v>29.899799999999999</v>
      </c>
      <c r="BN12">
        <v>31.764950000000002</v>
      </c>
      <c r="BO12" s="4">
        <v>0.99071925000000005</v>
      </c>
      <c r="BP12" s="7">
        <v>0.31738208400853801</v>
      </c>
      <c r="BQ12">
        <v>70.254300000000001</v>
      </c>
      <c r="BR12">
        <v>72.545000000000002</v>
      </c>
      <c r="BS12">
        <v>27.3963</v>
      </c>
      <c r="BT12">
        <v>29.221362500000001</v>
      </c>
      <c r="BU12" s="4">
        <v>0.99102586000000004</v>
      </c>
      <c r="BV12" s="7">
        <v>0.30682728211263599</v>
      </c>
      <c r="BW12">
        <v>69.923400000000001</v>
      </c>
      <c r="BX12">
        <v>73.757000000000005</v>
      </c>
      <c r="BY12">
        <v>38.498600000000003</v>
      </c>
      <c r="BZ12">
        <v>40.617249999999999</v>
      </c>
      <c r="CA12" s="4">
        <v>0.99416269000000002</v>
      </c>
      <c r="CB12" s="7">
        <v>0.30133107114303598</v>
      </c>
      <c r="CC12">
        <v>66.229699999999994</v>
      </c>
      <c r="CD12">
        <v>69.812100000000001</v>
      </c>
      <c r="CE12">
        <v>27.298999999999999</v>
      </c>
      <c r="CF12">
        <v>29.230962499999997</v>
      </c>
      <c r="CG12" s="4">
        <v>0.98951350000000005</v>
      </c>
      <c r="CH12" s="7">
        <v>0.28523358137974603</v>
      </c>
      <c r="CI12">
        <v>73.468999999999994</v>
      </c>
      <c r="CJ12">
        <v>79.616100000000003</v>
      </c>
      <c r="CK12">
        <v>35.674100000000003</v>
      </c>
      <c r="CL12">
        <v>36.194112500000003</v>
      </c>
      <c r="CM12" s="4">
        <v>0.99384916999999995</v>
      </c>
      <c r="CN12" s="7">
        <v>0.30126024811749202</v>
      </c>
      <c r="CO12">
        <v>72.2637</v>
      </c>
      <c r="CP12">
        <v>75.741399999999999</v>
      </c>
      <c r="CQ12">
        <v>33.709699999999998</v>
      </c>
      <c r="CR12">
        <v>34.719562499999995</v>
      </c>
      <c r="CS12" s="4">
        <v>0.99194104999999999</v>
      </c>
      <c r="CT12" s="7">
        <v>0.29775796451313802</v>
      </c>
      <c r="CU12">
        <v>67.920400000000001</v>
      </c>
      <c r="CV12">
        <v>72.039900000000003</v>
      </c>
      <c r="CW12">
        <v>29.256799999999998</v>
      </c>
      <c r="CX12">
        <v>30.8713625</v>
      </c>
      <c r="CY12" s="4">
        <v>0.99040296000000005</v>
      </c>
      <c r="CZ12" s="7">
        <v>0.30168676863643501</v>
      </c>
      <c r="DA12">
        <v>67.848399999999998</v>
      </c>
      <c r="DB12">
        <v>71.976699999999994</v>
      </c>
      <c r="DC12">
        <v>38.012099999999997</v>
      </c>
      <c r="DD12">
        <v>40.282112499999997</v>
      </c>
      <c r="DE12" s="4">
        <v>0.99334434999999999</v>
      </c>
      <c r="DF12" s="7">
        <v>0.30073127708037101</v>
      </c>
      <c r="DG12">
        <v>68.706999999999994</v>
      </c>
      <c r="DH12">
        <v>70.774699999999996</v>
      </c>
      <c r="DI12">
        <v>27.5596</v>
      </c>
      <c r="DJ12">
        <v>29.976537499999999</v>
      </c>
      <c r="DK12" s="4">
        <v>0.99452366000000003</v>
      </c>
      <c r="DL12" s="7">
        <v>0.30949986960460801</v>
      </c>
      <c r="DM12">
        <v>71.392600000000002</v>
      </c>
      <c r="DN12">
        <v>74.877399999999994</v>
      </c>
      <c r="DO12">
        <v>34.347499999999997</v>
      </c>
      <c r="DP12">
        <v>35.9221875</v>
      </c>
      <c r="DQ12" s="4">
        <v>0.99273131000000003</v>
      </c>
      <c r="DR12" s="7">
        <v>0.31718061674008802</v>
      </c>
      <c r="DS12">
        <v>63.497799999999998</v>
      </c>
      <c r="DT12">
        <v>66.015799999999999</v>
      </c>
      <c r="DU12">
        <v>26.047999999999998</v>
      </c>
      <c r="DV12">
        <v>29.207637500000001</v>
      </c>
      <c r="DW12" s="4">
        <v>0.98655800000000005</v>
      </c>
      <c r="DX12" s="7">
        <v>0.415617054607751</v>
      </c>
      <c r="DY12">
        <v>55.369309999999999</v>
      </c>
      <c r="DZ12">
        <v>56.962110000000003</v>
      </c>
      <c r="EA12">
        <v>21.4435</v>
      </c>
      <c r="EB12">
        <v>25.082675000000002</v>
      </c>
      <c r="EC12" s="4">
        <v>0.97246920000000003</v>
      </c>
      <c r="ED12" s="7">
        <v>0.55201687489858797</v>
      </c>
      <c r="EE12">
        <v>54.790509999999998</v>
      </c>
      <c r="EF12">
        <v>56.402709999999999</v>
      </c>
      <c r="EG12">
        <v>27.543099999999999</v>
      </c>
      <c r="EH12">
        <v>30.5590875</v>
      </c>
      <c r="EI12" s="4">
        <v>0.98287690000000005</v>
      </c>
      <c r="EJ12" s="7">
        <v>0.31894025007100801</v>
      </c>
      <c r="EK12">
        <v>59.0364</v>
      </c>
      <c r="EL12">
        <v>60.9238</v>
      </c>
      <c r="EM12">
        <v>26.990500000000001</v>
      </c>
      <c r="EN12">
        <v>29.533625000000001</v>
      </c>
      <c r="EO12" s="4">
        <v>0.98342940000000001</v>
      </c>
      <c r="EP12" s="7">
        <v>0.29354621056311098</v>
      </c>
      <c r="EQ12">
        <v>65.849900000000005</v>
      </c>
      <c r="ER12">
        <v>67.490499999999997</v>
      </c>
      <c r="ES12">
        <v>20.627600000000001</v>
      </c>
      <c r="ET12">
        <v>23.673862500000002</v>
      </c>
      <c r="EU12" s="4">
        <v>0.97737209999999997</v>
      </c>
    </row>
    <row r="13" spans="1:151">
      <c r="A13" s="46"/>
      <c r="B13" s="7">
        <v>1.02476614946333</v>
      </c>
      <c r="C13">
        <v>71.5441</v>
      </c>
      <c r="D13">
        <v>75.8172</v>
      </c>
      <c r="E13">
        <v>37.031100000000002</v>
      </c>
      <c r="F13">
        <v>39.166924999999999</v>
      </c>
      <c r="G13" s="4">
        <v>0.99586872000000004</v>
      </c>
      <c r="H13" s="7">
        <v>0.95840465369604</v>
      </c>
      <c r="I13">
        <v>73.015900000000002</v>
      </c>
      <c r="J13">
        <v>77.019300000000001</v>
      </c>
      <c r="K13">
        <v>40.640900000000002</v>
      </c>
      <c r="L13">
        <v>42.823875000000001</v>
      </c>
      <c r="M13" s="4">
        <v>0.99618883999999996</v>
      </c>
      <c r="N13" s="7">
        <v>1.0061936252850301</v>
      </c>
      <c r="O13">
        <v>73.174700000000001</v>
      </c>
      <c r="P13">
        <v>77.117900000000006</v>
      </c>
      <c r="Q13">
        <v>32.154400000000003</v>
      </c>
      <c r="R13">
        <v>34.422587499999999</v>
      </c>
      <c r="S13" s="4">
        <v>0.99535490999999998</v>
      </c>
      <c r="T13" s="7">
        <v>0.95666961314864896</v>
      </c>
      <c r="U13">
        <v>68.230099999999993</v>
      </c>
      <c r="V13">
        <v>72.293800000000005</v>
      </c>
      <c r="W13">
        <v>27.187899999999999</v>
      </c>
      <c r="X13">
        <v>29.975362499999999</v>
      </c>
      <c r="Y13" s="4">
        <v>0.99189251000000001</v>
      </c>
      <c r="Z13" s="7">
        <v>0.96205587015131599</v>
      </c>
      <c r="AA13">
        <v>70.291799999999995</v>
      </c>
      <c r="AB13">
        <v>74.225499999999997</v>
      </c>
      <c r="AC13">
        <v>30.558599999999998</v>
      </c>
      <c r="AD13">
        <v>34.057737499999995</v>
      </c>
      <c r="AE13" s="4">
        <v>0.99446157999999996</v>
      </c>
      <c r="AF13" s="7">
        <v>0.98298261502503403</v>
      </c>
      <c r="AG13">
        <v>69.024199999999993</v>
      </c>
      <c r="AH13">
        <v>71.434100000000001</v>
      </c>
      <c r="AI13">
        <v>27.569900000000001</v>
      </c>
      <c r="AJ13">
        <v>29.122575000000001</v>
      </c>
      <c r="AK13" s="4">
        <v>0.9925332</v>
      </c>
      <c r="AL13" s="7">
        <v>1.0564287103097001</v>
      </c>
      <c r="AM13">
        <v>75.145399999999995</v>
      </c>
      <c r="AN13">
        <v>79.686400000000006</v>
      </c>
      <c r="AO13">
        <v>30.723199999999999</v>
      </c>
      <c r="AP13">
        <v>32.370750000000001</v>
      </c>
      <c r="AQ13" s="4">
        <v>0.99386929000000002</v>
      </c>
      <c r="AR13" s="7">
        <v>1.00056509079764</v>
      </c>
      <c r="AS13">
        <v>74.268600000000006</v>
      </c>
      <c r="AT13">
        <v>78.621700000000004</v>
      </c>
      <c r="AU13">
        <v>30.8383</v>
      </c>
      <c r="AV13">
        <v>34.053037500000002</v>
      </c>
      <c r="AW13" s="4">
        <v>0.99443177999999999</v>
      </c>
      <c r="AX13" s="7">
        <v>0.93279223419614898</v>
      </c>
      <c r="AY13">
        <v>70.255799999999994</v>
      </c>
      <c r="AZ13">
        <v>74.517600000000002</v>
      </c>
      <c r="BA13">
        <v>35.157800000000002</v>
      </c>
      <c r="BB13">
        <v>36.426900000000003</v>
      </c>
      <c r="BC13" s="4">
        <v>0.99444407999999995</v>
      </c>
      <c r="BD13" s="7">
        <v>1.1002882843700501</v>
      </c>
      <c r="BE13">
        <v>70.933899999999994</v>
      </c>
      <c r="BF13">
        <v>74.974900000000005</v>
      </c>
      <c r="BG13">
        <v>31.793700000000001</v>
      </c>
      <c r="BH13">
        <v>35.2881</v>
      </c>
      <c r="BI13" s="4">
        <v>0.99550207000000002</v>
      </c>
      <c r="BJ13" s="7">
        <v>0.99196142954834299</v>
      </c>
      <c r="BK13">
        <v>74.568299999999994</v>
      </c>
      <c r="BL13">
        <v>79.215500000000006</v>
      </c>
      <c r="BM13">
        <v>33.352800000000002</v>
      </c>
      <c r="BN13">
        <v>34.816062500000001</v>
      </c>
      <c r="BO13" s="4">
        <v>0.99396097999999999</v>
      </c>
      <c r="BP13" s="7">
        <v>0.986554696874272</v>
      </c>
      <c r="BQ13">
        <v>72.543899999999994</v>
      </c>
      <c r="BR13">
        <v>75.441199999999995</v>
      </c>
      <c r="BS13">
        <v>29.66</v>
      </c>
      <c r="BT13">
        <v>31.067050000000002</v>
      </c>
      <c r="BU13" s="4">
        <v>0.99450746999999995</v>
      </c>
      <c r="BV13" s="7">
        <v>1.0161419488050301</v>
      </c>
      <c r="BW13">
        <v>70.218400000000003</v>
      </c>
      <c r="BX13">
        <v>74.170599999999993</v>
      </c>
      <c r="BY13">
        <v>41.991900000000001</v>
      </c>
      <c r="BZ13">
        <v>44.2667875</v>
      </c>
      <c r="CA13" s="4">
        <v>0.99636035000000001</v>
      </c>
      <c r="CB13" s="7">
        <v>0.96414469066785402</v>
      </c>
      <c r="CC13">
        <v>67.961299999999994</v>
      </c>
      <c r="CD13">
        <v>72.514099999999999</v>
      </c>
      <c r="CE13">
        <v>29.7089</v>
      </c>
      <c r="CF13">
        <v>31.28575</v>
      </c>
      <c r="CG13" s="4">
        <v>0.99384300999999997</v>
      </c>
      <c r="CH13" s="7">
        <v>1.0268892312853</v>
      </c>
      <c r="CI13">
        <v>74.941599999999994</v>
      </c>
      <c r="CJ13">
        <v>82.877600000000001</v>
      </c>
      <c r="CK13">
        <v>39.284100000000002</v>
      </c>
      <c r="CL13">
        <v>39.363612500000002</v>
      </c>
      <c r="CM13" s="4">
        <v>0.99676710000000002</v>
      </c>
      <c r="CN13" s="7">
        <v>1.0117865639069601</v>
      </c>
      <c r="CO13">
        <v>74.323999999999998</v>
      </c>
      <c r="CP13">
        <v>78.462199999999996</v>
      </c>
      <c r="CQ13">
        <v>37.351799999999997</v>
      </c>
      <c r="CR13">
        <v>37.8029625</v>
      </c>
      <c r="CS13" s="4">
        <v>0.99460227000000001</v>
      </c>
      <c r="CT13" s="7">
        <v>1.00028558907494</v>
      </c>
      <c r="CU13">
        <v>68.642300000000006</v>
      </c>
      <c r="CV13">
        <v>73.295699999999997</v>
      </c>
      <c r="CW13">
        <v>32.602499999999999</v>
      </c>
      <c r="CX13">
        <v>34.1114125</v>
      </c>
      <c r="CY13" s="4">
        <v>0.99351747000000001</v>
      </c>
      <c r="CZ13" s="7">
        <v>0.99613932374528003</v>
      </c>
      <c r="DA13">
        <v>68.543899999999994</v>
      </c>
      <c r="DB13">
        <v>73.331000000000003</v>
      </c>
      <c r="DC13">
        <v>40.345799999999997</v>
      </c>
      <c r="DD13">
        <v>42.594312500000001</v>
      </c>
      <c r="DE13" s="4">
        <v>0.99582128999999997</v>
      </c>
      <c r="DF13" s="7">
        <v>0.94598140124334196</v>
      </c>
      <c r="DG13">
        <v>71.124799999999993</v>
      </c>
      <c r="DH13">
        <v>73.594700000000003</v>
      </c>
      <c r="DI13">
        <v>30.705300000000001</v>
      </c>
      <c r="DJ13">
        <v>32.638087500000005</v>
      </c>
      <c r="DK13" s="4">
        <v>0.99736891000000005</v>
      </c>
      <c r="DL13" s="7">
        <v>1.05068838214743</v>
      </c>
      <c r="DM13">
        <v>71.962699999999998</v>
      </c>
      <c r="DN13">
        <v>75.596299999999999</v>
      </c>
      <c r="DO13">
        <v>37.839399999999998</v>
      </c>
      <c r="DP13">
        <v>39.172549999999994</v>
      </c>
      <c r="DQ13" s="4">
        <v>0.99601090000000003</v>
      </c>
      <c r="DR13" s="7">
        <v>1.05013236786756</v>
      </c>
      <c r="DS13">
        <v>66.234399999999994</v>
      </c>
      <c r="DT13">
        <v>70.421599999999998</v>
      </c>
      <c r="DU13">
        <v>28.036200000000001</v>
      </c>
      <c r="DV13">
        <v>30.853375</v>
      </c>
      <c r="DW13" s="4">
        <v>0.99007487000000005</v>
      </c>
      <c r="DX13" s="7">
        <v>1.0153012285382701</v>
      </c>
      <c r="DY13">
        <v>60.321199999999997</v>
      </c>
      <c r="DZ13">
        <v>64.279300000000006</v>
      </c>
      <c r="EA13">
        <v>25.568200000000001</v>
      </c>
      <c r="EB13">
        <v>28.857212499999999</v>
      </c>
      <c r="EC13" s="4">
        <v>0.98809979999999997</v>
      </c>
      <c r="ED13" s="7">
        <v>0.98689599221158497</v>
      </c>
      <c r="EE13">
        <v>58.3367</v>
      </c>
      <c r="EF13">
        <v>61.783000000000001</v>
      </c>
      <c r="EG13">
        <v>30.7286</v>
      </c>
      <c r="EH13">
        <v>33.511949999999999</v>
      </c>
      <c r="EI13" s="4">
        <v>0.98918550000000005</v>
      </c>
      <c r="EJ13" s="7">
        <v>1.0290500565046801</v>
      </c>
      <c r="EK13">
        <v>61.680300000000003</v>
      </c>
      <c r="EL13">
        <v>63.852699999999999</v>
      </c>
      <c r="EM13">
        <v>27.970500000000001</v>
      </c>
      <c r="EN13">
        <v>30.397962499999998</v>
      </c>
      <c r="EO13" s="4">
        <v>0.98629869999999997</v>
      </c>
      <c r="EP13" s="7">
        <v>1.0107061855251001</v>
      </c>
      <c r="EQ13">
        <v>66.8947</v>
      </c>
      <c r="ER13">
        <v>69.033600000000007</v>
      </c>
      <c r="ES13">
        <v>21.723199999999999</v>
      </c>
      <c r="ET13">
        <v>24.671287500000002</v>
      </c>
      <c r="EU13" s="4">
        <v>0.98036230000000002</v>
      </c>
    </row>
    <row r="14" spans="1:151">
      <c r="A14" s="47"/>
      <c r="B14" s="9">
        <v>2.8882820000069298</v>
      </c>
      <c r="C14" s="5">
        <v>72.853899999999996</v>
      </c>
      <c r="D14" s="5">
        <v>77.381100000000004</v>
      </c>
      <c r="E14" s="5">
        <v>39.753700000000002</v>
      </c>
      <c r="F14" s="5">
        <v>42.028412500000002</v>
      </c>
      <c r="G14" s="6">
        <v>0.99778120000000003</v>
      </c>
      <c r="H14" s="9">
        <v>3.1045504161704098</v>
      </c>
      <c r="I14" s="5">
        <v>75.736599999999996</v>
      </c>
      <c r="J14" s="5">
        <v>80.010199999999998</v>
      </c>
      <c r="K14" s="5">
        <v>43.862000000000002</v>
      </c>
      <c r="L14" s="5">
        <v>45.954662500000005</v>
      </c>
      <c r="M14" s="6">
        <v>0.99853060999999999</v>
      </c>
      <c r="N14" s="9">
        <v>2.9186592713186399</v>
      </c>
      <c r="O14" s="5">
        <v>76.157600000000002</v>
      </c>
      <c r="P14" s="5">
        <v>79.981200000000001</v>
      </c>
      <c r="Q14" s="5">
        <v>35.770499999999998</v>
      </c>
      <c r="R14" s="5">
        <v>37.861337499999998</v>
      </c>
      <c r="S14" s="6">
        <v>0.99834431000000001</v>
      </c>
      <c r="T14" s="9">
        <v>3.0288024848783399</v>
      </c>
      <c r="U14" s="5">
        <v>68.427999999999997</v>
      </c>
      <c r="V14" s="5">
        <v>72.566699999999997</v>
      </c>
      <c r="W14" s="5">
        <v>27.7819</v>
      </c>
      <c r="X14" s="5">
        <v>31.212774999999997</v>
      </c>
      <c r="Y14" s="6">
        <v>0.99341486000000001</v>
      </c>
      <c r="Z14" s="9">
        <v>3.0236509495203601</v>
      </c>
      <c r="AA14" s="5">
        <v>70.330600000000004</v>
      </c>
      <c r="AB14" s="5">
        <v>74.230199999999996</v>
      </c>
      <c r="AC14" s="5">
        <v>32.812800000000003</v>
      </c>
      <c r="AD14" s="5">
        <v>36.564162500000002</v>
      </c>
      <c r="AE14" s="6">
        <v>0.99640790999999995</v>
      </c>
      <c r="AF14" s="9">
        <v>3.1085872894491802</v>
      </c>
      <c r="AG14" s="5">
        <v>70.677599999999998</v>
      </c>
      <c r="AH14" s="5">
        <v>72.707599999999999</v>
      </c>
      <c r="AI14" s="5">
        <v>30.529199999999999</v>
      </c>
      <c r="AJ14" s="5">
        <v>31.700212499999999</v>
      </c>
      <c r="AK14" s="6">
        <v>0.99586518000000002</v>
      </c>
      <c r="AL14" s="9">
        <v>2.9662345022181098</v>
      </c>
      <c r="AM14" s="5">
        <v>79.176299999999998</v>
      </c>
      <c r="AN14" s="5">
        <v>84.109099999999998</v>
      </c>
      <c r="AO14" s="5">
        <v>36.244199999999999</v>
      </c>
      <c r="AP14" s="5">
        <v>37.119712499999999</v>
      </c>
      <c r="AQ14" s="6">
        <v>0.99799117000000004</v>
      </c>
      <c r="AR14" s="9">
        <v>2.9813998927285201</v>
      </c>
      <c r="AS14" s="5">
        <v>77.842200000000005</v>
      </c>
      <c r="AT14" s="5">
        <v>82.426599999999993</v>
      </c>
      <c r="AU14" s="5">
        <v>36.947400000000002</v>
      </c>
      <c r="AV14" s="5">
        <v>39.293237499999996</v>
      </c>
      <c r="AW14" s="6">
        <v>0.99791571999999995</v>
      </c>
      <c r="AX14" s="9">
        <v>2.9038364964884602</v>
      </c>
      <c r="AY14" s="5">
        <v>71.161199999999994</v>
      </c>
      <c r="AZ14" s="5">
        <v>75.596500000000006</v>
      </c>
      <c r="BA14" s="5">
        <v>36.999699999999997</v>
      </c>
      <c r="BB14" s="5">
        <v>38.486424999999997</v>
      </c>
      <c r="BC14" s="6">
        <v>0.99668447999999998</v>
      </c>
      <c r="BD14" s="9">
        <v>2.5252417797812998</v>
      </c>
      <c r="BE14" s="5">
        <v>71.037599999999998</v>
      </c>
      <c r="BF14" s="5">
        <v>75.103099999999998</v>
      </c>
      <c r="BG14" s="5">
        <v>32.525700000000001</v>
      </c>
      <c r="BH14" s="5">
        <v>36.473687499999997</v>
      </c>
      <c r="BI14" s="6">
        <v>0.99700051000000001</v>
      </c>
      <c r="BJ14" s="9">
        <v>3.0960291343678099</v>
      </c>
      <c r="BK14" s="5">
        <v>79.42</v>
      </c>
      <c r="BL14" s="5">
        <v>84.246200000000002</v>
      </c>
      <c r="BM14" s="5">
        <v>39.279600000000002</v>
      </c>
      <c r="BN14" s="5">
        <v>39.8967375</v>
      </c>
      <c r="BO14" s="6">
        <v>0.99820898999999996</v>
      </c>
      <c r="BP14" s="9">
        <v>2.8390172488626102</v>
      </c>
      <c r="BQ14" s="5">
        <v>74.3596</v>
      </c>
      <c r="BR14" s="5">
        <v>76.996399999999994</v>
      </c>
      <c r="BS14" s="5">
        <v>33.530799999999999</v>
      </c>
      <c r="BT14" s="5">
        <v>34.453962500000003</v>
      </c>
      <c r="BU14" s="6">
        <v>0.99760033999999997</v>
      </c>
      <c r="BV14" s="9">
        <v>3.0965188194089301</v>
      </c>
      <c r="BW14" s="5">
        <v>70.301000000000002</v>
      </c>
      <c r="BX14" s="5">
        <v>74.1554</v>
      </c>
      <c r="BY14" s="5">
        <v>43.535699999999999</v>
      </c>
      <c r="BZ14" s="5">
        <v>46.1276625</v>
      </c>
      <c r="CA14" s="6">
        <v>0.99721397999999994</v>
      </c>
      <c r="CB14" s="9">
        <v>2.9929998230120902</v>
      </c>
      <c r="CC14" s="5">
        <v>68.286299999999997</v>
      </c>
      <c r="CD14" s="5">
        <v>72.849699999999999</v>
      </c>
      <c r="CE14" s="5">
        <v>31.4206</v>
      </c>
      <c r="CF14" s="5">
        <v>33.197524999999999</v>
      </c>
      <c r="CG14" s="6">
        <v>0.99572249000000002</v>
      </c>
      <c r="CH14" s="9">
        <v>2.99472133063722</v>
      </c>
      <c r="CI14" s="5">
        <v>76.197299999999998</v>
      </c>
      <c r="CJ14" s="5">
        <v>86.332400000000007</v>
      </c>
      <c r="CK14" s="5">
        <v>45.1738</v>
      </c>
      <c r="CL14" s="5">
        <v>44.4889625</v>
      </c>
      <c r="CM14" s="6">
        <v>0.99893666000000003</v>
      </c>
      <c r="CN14" s="9">
        <v>3.0374732123547501</v>
      </c>
      <c r="CO14" s="5">
        <v>77.469700000000003</v>
      </c>
      <c r="CP14" s="5">
        <v>81.885199999999998</v>
      </c>
      <c r="CQ14" s="5">
        <v>40.570999999999998</v>
      </c>
      <c r="CR14" s="5">
        <v>40.621624999999995</v>
      </c>
      <c r="CS14" s="6">
        <v>0.99761003999999998</v>
      </c>
      <c r="CT14" s="9">
        <v>3.1152271293138001</v>
      </c>
      <c r="CU14" s="5">
        <v>69.031000000000006</v>
      </c>
      <c r="CV14" s="5">
        <v>73.853099999999998</v>
      </c>
      <c r="CW14" s="5">
        <v>33.568199999999997</v>
      </c>
      <c r="CX14" s="5">
        <v>35.435862499999999</v>
      </c>
      <c r="CY14" s="6">
        <v>0.99532869999999996</v>
      </c>
      <c r="CZ14" s="9">
        <v>2.9322039961035502</v>
      </c>
      <c r="DA14" s="5">
        <v>68.734499999999997</v>
      </c>
      <c r="DB14" s="5">
        <v>73.471000000000004</v>
      </c>
      <c r="DC14" s="5">
        <v>41.597099999999998</v>
      </c>
      <c r="DD14" s="5">
        <v>44.199187499999994</v>
      </c>
      <c r="DE14" s="6">
        <v>0.99718437000000004</v>
      </c>
      <c r="DF14" s="9">
        <v>2.9810347485057598</v>
      </c>
      <c r="DG14" s="5">
        <v>72.731499999999997</v>
      </c>
      <c r="DH14" s="5">
        <v>75.369699999999995</v>
      </c>
      <c r="DI14" s="5">
        <v>34.256</v>
      </c>
      <c r="DJ14" s="5">
        <v>35.865812500000004</v>
      </c>
      <c r="DK14" s="6">
        <v>0.99860715</v>
      </c>
      <c r="DL14" s="9">
        <v>3.0316009086975901</v>
      </c>
      <c r="DM14" s="5">
        <v>71.977099999999993</v>
      </c>
      <c r="DN14" s="5">
        <v>75.587500000000006</v>
      </c>
      <c r="DO14" s="5">
        <v>41.354799999999997</v>
      </c>
      <c r="DP14" s="5">
        <v>42.893787499999995</v>
      </c>
      <c r="DQ14" s="6">
        <v>0.99741431999999997</v>
      </c>
      <c r="DR14" s="9">
        <v>2.9048834848849499</v>
      </c>
      <c r="DS14" s="5">
        <v>67.182299999999998</v>
      </c>
      <c r="DT14" s="5">
        <v>71.907799999999995</v>
      </c>
      <c r="DU14" s="5">
        <v>30.5137</v>
      </c>
      <c r="DV14" s="5">
        <v>32.949749999999995</v>
      </c>
      <c r="DW14" s="6">
        <v>0.99361686999999999</v>
      </c>
      <c r="DX14" s="9">
        <v>2.9262416278865202</v>
      </c>
      <c r="DY14" s="5">
        <v>62.3568</v>
      </c>
      <c r="DZ14" s="5">
        <v>68.568100000000001</v>
      </c>
      <c r="EA14" s="5">
        <v>26.559100000000001</v>
      </c>
      <c r="EB14" s="5">
        <v>29.865287500000001</v>
      </c>
      <c r="EC14" s="6">
        <v>0.99144726000000005</v>
      </c>
      <c r="ED14" s="9">
        <v>2.9743177024176499</v>
      </c>
      <c r="EE14" s="5">
        <v>61.321899999999999</v>
      </c>
      <c r="EF14" s="5">
        <v>66.440700000000007</v>
      </c>
      <c r="EG14" s="5">
        <v>32.473799999999997</v>
      </c>
      <c r="EH14" s="5">
        <v>35.205349999999996</v>
      </c>
      <c r="EI14" s="6">
        <v>0.99199632000000004</v>
      </c>
      <c r="EJ14" s="9">
        <v>2.94096317828286</v>
      </c>
      <c r="EK14" s="5">
        <v>62.540700000000001</v>
      </c>
      <c r="EL14" s="5">
        <v>66.709400000000002</v>
      </c>
      <c r="EM14" s="5">
        <v>28.7029</v>
      </c>
      <c r="EN14" s="5">
        <v>31.044962499999997</v>
      </c>
      <c r="EO14" s="6">
        <v>0.98862090000000002</v>
      </c>
      <c r="EP14" s="9">
        <v>3.1732418524871302</v>
      </c>
      <c r="EQ14" s="5">
        <v>67.115499999999997</v>
      </c>
      <c r="ER14" s="5">
        <v>69.328500000000005</v>
      </c>
      <c r="ES14" s="5">
        <v>22.396000000000001</v>
      </c>
      <c r="ET14" s="5">
        <v>25.437862500000001</v>
      </c>
      <c r="EU14" s="6">
        <v>0.98198569999999996</v>
      </c>
    </row>
    <row r="16" spans="1:151">
      <c r="A16" t="s">
        <v>78</v>
      </c>
    </row>
    <row r="18" spans="1:151">
      <c r="A18" s="44" t="s">
        <v>90</v>
      </c>
      <c r="B18" t="s">
        <v>43</v>
      </c>
      <c r="C18" s="10" cm="1">
        <f t="array" ref="C18">bdRateExtend(B7:B10,C7:C10,B3:B6,C3:C6)</f>
        <v>-0.78739504263137472</v>
      </c>
      <c r="D18" s="10" cm="1">
        <f t="array" ref="D18">bdRateExtend(B7:B10,D7:D10,B3:B6,D3:D6)</f>
        <v>-0.67783486449958996</v>
      </c>
      <c r="E18" s="10" cm="1">
        <f t="array" ref="E18">bdRateExtend(B7:B10,E7:E10,B3:B6,E3:E6)</f>
        <v>-0.73621028000077571</v>
      </c>
      <c r="F18" s="10" cm="1">
        <f t="array" ref="F18">bdRateExtend(B7:B10,F7:F10,B3:B6,F3:F6)</f>
        <v>-0.84021914527640362</v>
      </c>
      <c r="G18" s="10" cm="1">
        <f t="array" ref="G18">bdRateExtend(B7:B10,G7:G10,B3:B6,G3:G6)</f>
        <v>-0.73464782230833869</v>
      </c>
      <c r="I18" s="10" cm="1">
        <f t="array" ref="I18">bdRateExtend(H7:H10,I7:I10,H3:H6,I3:I6)</f>
        <v>-0.87240338560583974</v>
      </c>
      <c r="J18" s="10" cm="1">
        <f t="array" ref="J18">bdRateExtend(H7:H10,J7:J10,H3:H6,J3:J6)</f>
        <v>-0.80022415242841483</v>
      </c>
      <c r="K18" s="10" cm="1">
        <f t="array" ref="K18">bdRateExtend(H7:H10,K7:K10,H3:H6,K3:K6)</f>
        <v>-0.75961967371243511</v>
      </c>
      <c r="L18" s="10" cm="1">
        <f t="array" ref="L18">bdRateExtend(H7:H10,L7:L10,H3:H6,L3:L6)</f>
        <v>-0.87276752613448672</v>
      </c>
      <c r="M18" s="10" cm="1">
        <f t="array" ref="M18">bdRateExtend(H7:H10,M7:M10,H3:H6,M3:M6)</f>
        <v>-0.82628454509791849</v>
      </c>
      <c r="O18" s="10" cm="1">
        <f t="array" ref="O18">bdRateExtend(N7:N10,O7:O10,N3:N6,O3:O6)</f>
        <v>-0.84554155850148183</v>
      </c>
      <c r="P18" s="10" cm="1">
        <f t="array" ref="P18">bdRateExtend(N7:N10,P7:P10,N3:N6,P3:P6)</f>
        <v>-0.73577279302293519</v>
      </c>
      <c r="Q18" s="10" cm="1">
        <f t="array" ref="Q18">bdRateExtend(N7:N10,Q7:Q10,N3:N6,Q3:Q6)</f>
        <v>-0.59982577706548579</v>
      </c>
      <c r="R18" s="10" cm="1">
        <f t="array" ref="R18">bdRateExtend(N7:N10,R7:R10,N3:N6,R3:R6)</f>
        <v>-0.77748489164649381</v>
      </c>
      <c r="S18" s="10" cm="1">
        <f t="array" ref="S18">bdRateExtend(N7:N10,S7:S10,N3:N6,S3:S6)</f>
        <v>-0.65137264646867377</v>
      </c>
      <c r="U18" s="10" cm="1">
        <f t="array" ref="U18">bdRateExtend(T7:T10,U7:U10,T3:T6,U3:U6)</f>
        <v>-0.76321581638404157</v>
      </c>
      <c r="V18" s="10" cm="1">
        <f t="array" ref="V18">bdRateExtend(T7:T10,V7:V10,T3:T6,V3:V6)</f>
        <v>-0.63047316933767772</v>
      </c>
      <c r="W18" s="10" cm="1">
        <f t="array" ref="W18">bdRateExtend(T7:T10,W7:W10,T3:T6,W3:W6)</f>
        <v>-0.53692608430761291</v>
      </c>
      <c r="X18" s="10" cm="1">
        <f t="array" ref="X18">bdRateExtend(T7:T10,X7:X10,T3:T6,X3:X6)</f>
        <v>-0.70051638751127321</v>
      </c>
      <c r="Y18" s="10" cm="1">
        <f t="array" ref="Y18">bdRateExtend(T7:T10,Y7:Y10,T3:T6,Y3:Y6)</f>
        <v>-0.59402690912687428</v>
      </c>
      <c r="AA18" s="10" cm="1">
        <f t="array" ref="AA18">bdRateExtend(Z7:Z10,AA7:AA10,Z3:Z6,AA3:AA6)</f>
        <v>-0.8470181592480116</v>
      </c>
      <c r="AB18" s="10" cm="1">
        <f t="array" ref="AB18">bdRateExtend(Z7:Z10,AB7:AB10,Z3:Z6,AB3:AB6)</f>
        <v>-0.73848118610442648</v>
      </c>
      <c r="AC18" s="10" cm="1">
        <f t="array" ref="AC18">bdRateExtend(Z7:Z10,AC7:AC10,Z3:Z6,AC3:AC6)</f>
        <v>-0.63772525266097113</v>
      </c>
      <c r="AD18" s="10" cm="1">
        <f t="array" ref="AD18">bdRateExtend(Z7:Z10,AD7:AD10,Z3:Z6,AD3:AD6)</f>
        <v>-0.81890970919502826</v>
      </c>
      <c r="AE18" s="10" cm="1">
        <f t="array" ref="AE18">bdRateExtend(Z7:Z10,AE7:AE10,Z3:Z6,AE3:AE6)</f>
        <v>-0.66509988539554066</v>
      </c>
      <c r="AG18" s="10" cm="1">
        <f t="array" ref="AG18">bdRateExtend(AF7:AF10,AG7:AG10,AF3:AF6,AG3:AG6)</f>
        <v>-0.50604302033799187</v>
      </c>
      <c r="AH18" s="10" cm="1">
        <f t="array" ref="AH18">bdRateExtend(AF7:AF10,AH7:AH10,AF3:AF6,AH3:AH6)</f>
        <v>-0.26331416125804141</v>
      </c>
      <c r="AI18" s="10" cm="1">
        <f t="array" ref="AI18">bdRateExtend(AF7:AF10,AI7:AI10,AF3:AF6,AI3:AI6)</f>
        <v>-0.43846757321780294</v>
      </c>
      <c r="AJ18" s="10" cm="1">
        <f t="array" ref="AJ18">bdRateExtend(AF7:AF10,AJ7:AJ10,AF3:AF6,AJ3:AJ6)</f>
        <v>-0.43059776594498733</v>
      </c>
      <c r="AK18" s="10" cm="1">
        <f t="array" ref="AK18">bdRateExtend(AF7:AF10,AK7:AK10,AF3:AF6,AK3:AK6)</f>
        <v>-0.4873590335751512</v>
      </c>
      <c r="AM18" s="10" cm="1">
        <f t="array" ref="AM18">bdRateExtend(AL7:AL10,AM7:AM10,AL3:AL6,AM3:AM6)</f>
        <v>-0.88318109420166291</v>
      </c>
      <c r="AN18" s="10" cm="1">
        <f t="array" ref="AN18">bdRateExtend(AL7:AL10,AN7:AN10,AL3:AL6,AN3:AN6)</f>
        <v>-0.79308370134835904</v>
      </c>
      <c r="AO18" s="10" cm="1">
        <f t="array" ref="AO18">bdRateExtend(AL7:AL10,AO7:AO10,AL3:AL6,AO3:AO6)</f>
        <v>-0.64919325781238824</v>
      </c>
      <c r="AP18" s="10" cm="1">
        <f t="array" ref="AP18">bdRateExtend(AL7:AL10,AP7:AP10,AL3:AL6,AP3:AP6)</f>
        <v>-0.77571439915439111</v>
      </c>
      <c r="AQ18" s="10" cm="1">
        <f t="array" ref="AQ18">bdRateExtend(AL7:AL10,AQ7:AQ10,AL3:AL6,AQ3:AQ6)</f>
        <v>-0.72391429764860926</v>
      </c>
      <c r="AS18" s="10" cm="1">
        <f t="array" ref="AS18">bdRateExtend(AR7:AR10,AS7:AS10,AR3:AR6,AS3:AS6)</f>
        <v>-0.85690593760434663</v>
      </c>
      <c r="AT18" s="10" cm="1">
        <f t="array" ref="AT18">bdRateExtend(AR7:AR10,AT7:AT10,AR3:AR6,AT3:AT6)</f>
        <v>-0.74201523268201264</v>
      </c>
      <c r="AU18" s="10" cm="1">
        <f t="array" ref="AU18">bdRateExtend(AR7:AR10,AU7:AU10,AR3:AR6,AU3:AU6)</f>
        <v>-0.65475768221298392</v>
      </c>
      <c r="AV18" s="10" cm="1">
        <f t="array" ref="AV18">bdRateExtend(AR7:AR10,AV7:AV10,AR3:AR6,AV3:AV6)</f>
        <v>-0.77457682366353464</v>
      </c>
      <c r="AW18" s="10" cm="1">
        <f t="array" ref="AW18">bdRateExtend(AR7:AR10,AW7:AW10,AR3:AR6,AW3:AW6)</f>
        <v>-0.73688943864757817</v>
      </c>
      <c r="AY18" s="10" cm="1">
        <f t="array" ref="AY18">bdRateExtend(AX7:AX10,AY7:AY10,AX3:AX6,AY3:AY6)</f>
        <v>-0.62584358822445685</v>
      </c>
      <c r="AZ18" s="10" cm="1">
        <f t="array" ref="AZ18">bdRateExtend(AX7:AX10,AZ7:AZ10,AX3:AX6,AZ3:AZ6)</f>
        <v>-0.47464533338091808</v>
      </c>
      <c r="BA18" s="10" cm="1">
        <f t="array" ref="BA18">bdRateExtend(AX7:AX10,BA7:BA10,AX3:AX6,BA3:BA6)</f>
        <v>-0.61819935434359152</v>
      </c>
      <c r="BB18" s="10" cm="1">
        <f t="array" ref="BB18">bdRateExtend(AX7:AX10,BB7:BB10,AX3:AX6,BB3:BB6)</f>
        <v>-0.75650115665285156</v>
      </c>
      <c r="BC18" s="10" cm="1">
        <f t="array" ref="BC18">bdRateExtend(AX7:AX10,BC7:BC10,AX3:AX6,BC3:BC6)</f>
        <v>-0.65336310358215954</v>
      </c>
      <c r="BE18" s="10" cm="1">
        <f t="array" ref="BE18">bdRateExtend(BD7:BD10,BE7:BE10,BD3:BD6,BE3:BE6)</f>
        <v>-0.80742234346039377</v>
      </c>
      <c r="BF18" s="10" cm="1">
        <f t="array" ref="BF18">bdRateExtend(BD7:BD10,BF7:BF10,BD3:BD6,BF3:BF6)</f>
        <v>-0.65807855777087099</v>
      </c>
      <c r="BG18" s="10" cm="1">
        <f t="array" ref="BG18">bdRateExtend(BD7:BD10,BG7:BG10,BD3:BD6,BG3:BG6)</f>
        <v>-0.72757223556045625</v>
      </c>
      <c r="BH18" s="10" cm="1">
        <f t="array" ref="BH18">bdRateExtend(BD7:BD10,BH7:BH10,BD3:BD6,BH3:BH6)</f>
        <v>-0.82213741691445652</v>
      </c>
      <c r="BI18" s="10" cm="1">
        <f t="array" ref="BI18">bdRateExtend(BD7:BD10,BI7:BI10,BD3:BD6,BI3:BI6)</f>
        <v>-0.7210052200261905</v>
      </c>
      <c r="BK18" s="10" cm="1">
        <f t="array" ref="BK18">bdRateExtend(BJ7:BJ10,BK7:BK10,BJ3:BJ6,BK3:BK6)</f>
        <v>-0.90165799922450718</v>
      </c>
      <c r="BL18" s="10" cm="1">
        <f t="array" ref="BL18">bdRateExtend(BJ7:BJ10,BL7:BL10,BJ3:BJ6,BL3:BL6)</f>
        <v>-0.8355049466707517</v>
      </c>
      <c r="BM18" s="10" cm="1">
        <f t="array" ref="BM18">bdRateExtend(BJ7:BJ10,BM7:BM10,BJ3:BJ6,BM3:BM6)</f>
        <v>-0.62190405553348616</v>
      </c>
      <c r="BN18" s="10" cm="1">
        <f t="array" ref="BN18">bdRateExtend(BJ7:BJ10,BN7:BN10,BJ3:BJ6,BN3:BN6)</f>
        <v>-0.72226592832314407</v>
      </c>
      <c r="BO18" s="10" cm="1">
        <f t="array" ref="BO18">bdRateExtend(BJ7:BJ10,BO7:BO10,BJ3:BJ6,BO3:BO6)</f>
        <v>-0.68740364398184295</v>
      </c>
      <c r="BQ18" s="10" cm="1">
        <f t="array" ref="BQ18">bdRateExtend(BP7:BP10,BQ7:BQ10,BP3:BP6,BQ3:BQ6)</f>
        <v>-0.76718376468960736</v>
      </c>
      <c r="BR18" s="10" cm="1">
        <f t="array" ref="BR18">bdRateExtend(BP7:BP10,BR7:BR10,BP3:BP6,BR3:BR6)</f>
        <v>-0.62194113828233033</v>
      </c>
      <c r="BS18" s="10" cm="1">
        <f t="array" ref="BS18">bdRateExtend(BP7:BP10,BS7:BS10,BP3:BP6,BS3:BS6)</f>
        <v>-0.48107202640377811</v>
      </c>
      <c r="BT18" s="10" cm="1">
        <f t="array" ref="BT18">bdRateExtend(BP7:BP10,BT7:BT10,BP3:BP6,BT3:BT6)</f>
        <v>-0.48962457692994077</v>
      </c>
      <c r="BU18" s="10" cm="1">
        <f t="array" ref="BU18">bdRateExtend(BP7:BP10,BU7:BU10,BP3:BP6,BU3:BU6)</f>
        <v>-0.62518778800951424</v>
      </c>
      <c r="BW18" s="10" cm="1">
        <f t="array" ref="BW18">bdRateExtend(BV7:BV10,BW7:BW10,BV3:BV6,BW3:BW6)</f>
        <v>-0.9272555368256763</v>
      </c>
      <c r="BX18" s="10" cm="1">
        <f t="array" ref="BX18">bdRateExtend(BV7:BV10,BX7:BX10,BV3:BV6,BX3:BX6)</f>
        <v>-0.8329997183210669</v>
      </c>
      <c r="BY18" s="10" cm="1">
        <f t="array" ref="BY18">bdRateExtend(BV7:BV10,BY7:BY10,BV3:BV6,BY3:BY6)</f>
        <v>-0.84971573352612406</v>
      </c>
      <c r="BZ18" s="10" cm="1">
        <f t="array" ref="BZ18">bdRateExtend(BV7:BV10,BZ7:BZ10,BV3:BV6,BZ3:BZ6)</f>
        <v>-0.90062124529379006</v>
      </c>
      <c r="CA18" s="10" cm="1">
        <f t="array" ref="CA18">bdRateExtend(BV7:BV10,CA7:CA10,BV3:BV6,CA3:CA6)</f>
        <v>-0.87557782370074111</v>
      </c>
      <c r="CC18" s="10" cm="1">
        <f t="array" ref="CC18">bdRateExtend(CB7:CB10,CC7:CC10,CB3:CB6,CC3:CC6)</f>
        <v>-0.77311542687075396</v>
      </c>
      <c r="CD18" s="10" cm="1">
        <f t="array" ref="CD18">bdRateExtend(CB7:CB10,CD7:CD10,CB3:CB6,CD3:CD6)</f>
        <v>-0.67224512301757944</v>
      </c>
      <c r="CE18" s="10" cm="1">
        <f t="array" ref="CE18">bdRateExtend(CB7:CB10,CE7:CE10,CB3:CB6,CE3:CE6)</f>
        <v>-0.53721585953455564</v>
      </c>
      <c r="CF18" s="10" cm="1">
        <f t="array" ref="CF18">bdRateExtend(CB7:CB10,CF7:CF10,CB3:CB6,CF3:CF6)</f>
        <v>-0.61709189130869857</v>
      </c>
      <c r="CG18" s="10" cm="1">
        <f t="array" ref="CG18">bdRateExtend(CB7:CB10,CG7:CG10,CB3:CB6,CG3:CG6)</f>
        <v>-0.50090049565180783</v>
      </c>
      <c r="CI18" s="10" cm="1">
        <f t="array" ref="CI18">bdRateExtend(CH7:CH10,CI7:CI10,CH3:CH6,CI3:CI6)</f>
        <v>-0.70593429425603971</v>
      </c>
      <c r="CJ18" s="10" cm="1">
        <f t="array" ref="CJ18">bdRateExtend(CH7:CH10,CJ7:CJ10,CH3:CH6,CJ3:CJ6)</f>
        <v>-0.49138754995862077</v>
      </c>
      <c r="CK18" s="10" cm="1">
        <f t="array" ref="CK18">bdRateExtend(CH7:CH10,CK7:CK10,CH3:CH6,CK3:CK6)</f>
        <v>-0.74058614005148649</v>
      </c>
      <c r="CL18" s="10" cm="1">
        <f t="array" ref="CL18">bdRateExtend(CH7:CH10,CL7:CL10,CH3:CH6,CL3:CL6)</f>
        <v>-0.77648332283138077</v>
      </c>
      <c r="CM18" s="10" cm="1">
        <f t="array" ref="CM18">bdRateExtend(CH7:CH10,CM7:CM10,CH3:CH6,CM3:CM6)</f>
        <v>-0.74982367006391648</v>
      </c>
      <c r="CO18" s="10" cm="1">
        <f t="array" ref="CO18">bdRateExtend(CN7:CN10,CO7:CO10,CN3:CN6,CO3:CO6)</f>
        <v>-0.86404317885353188</v>
      </c>
      <c r="CP18" s="10" cm="1">
        <f t="array" ref="CP18">bdRateExtend(CN7:CN10,CP7:CP10,CN3:CN6,CP3:CP6)</f>
        <v>-0.77351581235657341</v>
      </c>
      <c r="CQ18" s="10" cm="1">
        <f t="array" ref="CQ18">bdRateExtend(CN7:CN10,CQ7:CQ10,CN3:CN6,CQ3:CQ6)</f>
        <v>-0.75855438826457755</v>
      </c>
      <c r="CR18" s="10" cm="1">
        <f t="array" ref="CR18">bdRateExtend(CN7:CN10,CR7:CR10,CN3:CN6,CR3:CR6)</f>
        <v>-0.81400137659299532</v>
      </c>
      <c r="CS18" s="10" cm="1">
        <f t="array" ref="CS18">bdRateExtend(CN7:CN10,CS7:CS10,CN3:CN6,CS3:CS6)</f>
        <v>-0.78696033008564648</v>
      </c>
      <c r="CU18" s="10" cm="1">
        <f t="array" ref="CU18">bdRateExtend(CT7:CT10,CU7:CU10,CT3:CT6,CU3:CU6)</f>
        <v>-0.62886021937563341</v>
      </c>
      <c r="CV18" s="10" cm="1">
        <f t="array" ref="CV18">bdRateExtend(CT7:CT10,CV7:CV10,CT3:CT6,CV3:CV6)</f>
        <v>-0.54711721300876981</v>
      </c>
      <c r="CW18" s="10" cm="1">
        <f t="array" ref="CW18">bdRateExtend(CT7:CT10,CW7:CW10,CT3:CT6,CW3:CW6)</f>
        <v>-0.5463347598433852</v>
      </c>
      <c r="CX18" s="10" cm="1">
        <f t="array" ref="CX18">bdRateExtend(CT7:CT10,CX7:CX10,CT3:CT6,CX3:CX6)</f>
        <v>-0.65189697953638359</v>
      </c>
      <c r="CY18" s="10" cm="1">
        <f t="array" ref="CY18">bdRateExtend(CT7:CT10,CY7:CY10,CT3:CT6,CY3:CY6)</f>
        <v>-0.57758261949100054</v>
      </c>
      <c r="DA18" s="10" cm="1">
        <f t="array" ref="DA18">bdRateExtend(CZ7:CZ10,DA7:DA10,CZ3:CZ6,DA3:DA6)</f>
        <v>-0.80229484109944271</v>
      </c>
      <c r="DB18" s="10" cm="1">
        <f t="array" ref="DB18">bdRateExtend(CZ7:CZ10,DB7:DB10,CZ3:CZ6,DB3:DB6)</f>
        <v>-0.71529122240499077</v>
      </c>
      <c r="DC18" s="10" cm="1">
        <f t="array" ref="DC18">bdRateExtend(CZ7:CZ10,DC7:DC10,CZ3:CZ6,DC3:DC6)</f>
        <v>-0.84927383232666509</v>
      </c>
      <c r="DD18" s="10" cm="1">
        <f t="array" ref="DD18">bdRateExtend(CZ7:CZ10,DD7:DD10,CZ3:CZ6,DD3:DD6)</f>
        <v>-0.91686900965219775</v>
      </c>
      <c r="DE18" s="10" cm="1">
        <f t="array" ref="DE18">bdRateExtend(CZ7:CZ10,DE7:DE10,CZ3:CZ6,DE3:DE6)</f>
        <v>-0.81383622330317029</v>
      </c>
      <c r="DG18" s="10" cm="1">
        <f t="array" ref="DG18">bdRateExtend(DF7:DF10,DG7:DG10,DF3:DF6,DG3:DG6)</f>
        <v>-0.63516143155435223</v>
      </c>
      <c r="DH18" s="10" cm="1">
        <f t="array" ref="DH18">bdRateExtend(DF7:DF10,DH7:DH10,DF3:DF6,DH3:DH6)</f>
        <v>-0.52704053597623779</v>
      </c>
      <c r="DI18" s="10" cm="1">
        <f t="array" ref="DI18">bdRateExtend(DF7:DF10,DI7:DI10,DF3:DF6,DI3:DI6)</f>
        <v>-0.50957598020080919</v>
      </c>
      <c r="DJ18" s="10" cm="1">
        <f t="array" ref="DJ18">bdRateExtend(DF7:DF10,DJ7:DJ10,DF3:DF6,DJ3:DJ6)</f>
        <v>-0.65673820042959108</v>
      </c>
      <c r="DK18" s="10" cm="1">
        <f t="array" ref="DK18">bdRateExtend(DF7:DF10,DK7:DK10,DF3:DF6,DK3:DK6)</f>
        <v>-0.56557663197361774</v>
      </c>
      <c r="DM18" s="10" cm="1">
        <f t="array" ref="DM18">bdRateExtend(DL7:DL10,DM7:DM10,DL3:DL6,DM3:DM6)</f>
        <v>-0.89414592012268024</v>
      </c>
      <c r="DN18" s="10" cm="1">
        <f t="array" ref="DN18">bdRateExtend(DL7:DL10,DN7:DN10,DL3:DL6,DN3:DN6)</f>
        <v>-0.73486492801209935</v>
      </c>
      <c r="DO18" s="10" cm="1">
        <f t="array" ref="DO18">bdRateExtend(DL7:DL10,DO7:DO10,DL3:DL6,DO3:DO6)</f>
        <v>-0.79346462497686432</v>
      </c>
      <c r="DP18" s="10" cm="1">
        <f t="array" ref="DP18">bdRateExtend(DL7:DL10,DP7:DP10,DL3:DL6,DP3:DP6)</f>
        <v>-0.83279314245575553</v>
      </c>
      <c r="DQ18" s="10" cm="1">
        <f t="array" ref="DQ18">bdRateExtend(DL7:DL10,DQ7:DQ10,DL3:DL6,DQ3:DQ6)</f>
        <v>-0.80500192151404804</v>
      </c>
      <c r="DR18" s="20"/>
      <c r="DS18" s="10" cm="1">
        <f t="array" ref="DS18">bdRateExtend(DR7:DR10,DS7:DS10,DR3:DR6,DS3:DS6)</f>
        <v>-0.65646615324161806</v>
      </c>
      <c r="DT18" s="10" cm="1">
        <f t="array" ref="DT18">bdRateExtend(DR7:DR10,DT7:DT10,DR3:DR6,DT3:DT6)</f>
        <v>-0.54572273763802837</v>
      </c>
      <c r="DU18" s="10" cm="1">
        <f t="array" ref="DU18">bdRateExtend(DR7:DR10,DU7:DU10,DR3:DR6,DU3:DU6)</f>
        <v>-0.59714358416939262</v>
      </c>
      <c r="DV18" s="10" cm="1">
        <f t="array" ref="DV18">bdRateExtend(DR7:DR10,DV7:DV10,DR3:DR6,DV3:DV6)</f>
        <v>-0.84711128280781112</v>
      </c>
      <c r="DW18" s="10" cm="1">
        <f t="array" ref="DW18">bdRateExtend(DR7:DR10,DW7:DW10,DR3:DR6,DW3:DW6)</f>
        <v>-0.58731461367260507</v>
      </c>
      <c r="DY18" s="10" cm="1">
        <f t="array" ref="DY18">bdRateExtend(DX7:DX10,DY7:DY10,DX3:DX6,DY3:DY6)</f>
        <v>-0.17768592884435941</v>
      </c>
      <c r="DZ18" s="10" cm="1">
        <f t="array" ref="DZ18">bdRateExtend(DX7:DX10,DZ7:DZ10,DX3:DX6,DZ3:DZ6)</f>
        <v>-0.14051359266220653</v>
      </c>
      <c r="EA18" s="10" cm="1">
        <f t="array" ref="EA18">bdRateExtend(DX7:DX10,EA7:EA10,DX3:DX6,EA3:EA6)</f>
        <v>0.12857363081656592</v>
      </c>
      <c r="EB18" s="10" cm="1">
        <f t="array" ref="EB18">bdRateExtend(DX7:DX10,EB7:EB10,DX3:DX6,EB3:EB6)</f>
        <v>-0.30232201117248514</v>
      </c>
      <c r="EC18" s="10" cm="1">
        <f t="array" ref="EC18">bdRateExtend(DX7:DX10,EC7:EC10,DX3:DX6,EC3:EC6)</f>
        <v>-0.25316325362637149</v>
      </c>
      <c r="EE18" s="10" cm="1">
        <f t="array" ref="EE18">bdRateExtend(ED7:ED10,EE7:EE10,ED3:ED6,EE3:EE6)</f>
        <v>-0.20405860178790403</v>
      </c>
      <c r="EF18" s="10" cm="1">
        <f t="array" ref="EF18">bdRateExtend(ED7:ED10,EF7:EF10,ED3:ED6,EF3:EF6)</f>
        <v>-7.3125348507576016E-2</v>
      </c>
      <c r="EG18" s="10" cm="1">
        <f t="array" ref="EG18">bdRateExtend(ED7:ED10,EG7:EG10,ED3:ED6,EG3:EG6)</f>
        <v>-9.3931607790395555E-2</v>
      </c>
      <c r="EH18" s="10" cm="1">
        <f t="array" ref="EH18">bdRateExtend(ED7:ED10,EH7:EH10,ED3:ED6,EH3:EH6)</f>
        <v>-0.54945234836817369</v>
      </c>
      <c r="EI18" s="10" cm="1">
        <f t="array" ref="EI18">bdRateExtend(ED7:ED10,EI7:EI10,ED3:ED6,EI3:EI6)</f>
        <v>-0.29288166919898651</v>
      </c>
      <c r="EK18" s="10" cm="1">
        <f t="array" ref="EK18">bdRateExtend(EJ7:EJ10,EK7:EK10,EJ3:EJ6,EK3:EK6)</f>
        <v>-0.47002551300458628</v>
      </c>
      <c r="EL18" s="10" cm="1">
        <f t="array" ref="EL18">bdRateExtend(EJ7:EJ10,EL7:EL10,EJ3:EJ6,EL3:EL6)</f>
        <v>-0.38770069313308131</v>
      </c>
      <c r="EM18" s="10" cm="1">
        <f t="array" ref="EM18">bdRateExtend(EJ7:EJ10,EM7:EM10,EJ3:EJ6,EM3:EM6)</f>
        <v>-0.68274099286392853</v>
      </c>
      <c r="EN18" s="10" cm="1">
        <f t="array" ref="EN18">bdRateExtend(EJ7:EJ10,EN7:EN10,EJ3:EJ6,EN3:EN6)</f>
        <v>-0.83632170430664221</v>
      </c>
      <c r="EO18" s="10" cm="1">
        <f t="array" ref="EO18">bdRateExtend(EJ7:EJ10,EO7:EO10,EJ3:EJ6,EO3:EO6)</f>
        <v>-0.77066247272869137</v>
      </c>
      <c r="EQ18" s="10" cm="1">
        <f t="array" ref="EQ18">bdRateExtend(EP7:EP10,EQ7:EQ10,EP3:EP6,EQ3:EQ6)</f>
        <v>-0.31132854810536059</v>
      </c>
      <c r="ER18" s="10" cm="1">
        <f t="array" ref="ER18">bdRateExtend(EP7:EP10,ER7:ER10,EP3:EP6,ER3:ER6)</f>
        <v>1.6653422608917889E-2</v>
      </c>
      <c r="ES18" s="10" cm="1">
        <f t="array" ref="ES18">bdRateExtend(EP7:EP10,ES7:ES10,EP3:EP6,ES3:ES6)</f>
        <v>-0.54950949208857991</v>
      </c>
      <c r="ET18" s="10" cm="1">
        <f t="array" ref="ET18">bdRateExtend(EP7:EP10,ET7:ET10,EP3:EP6,ET3:ET6)</f>
        <v>-0.71828596653829868</v>
      </c>
      <c r="EU18" s="10" cm="1">
        <f t="array" ref="EU18">bdRateExtend(EP7:EP10,EU7:EU10,EP3:EP6,EU3:EU6)</f>
        <v>-0.35916414295483279</v>
      </c>
    </row>
    <row r="19" spans="1:151">
      <c r="A19" s="44"/>
      <c r="B19" t="s">
        <v>44</v>
      </c>
      <c r="C19" s="1" cm="1">
        <f t="array" ref="C19">bdPSNRExtend(B7:B10,C7:C10,B3:B6,C3:C6)</f>
        <v>6.3462838097343459</v>
      </c>
      <c r="D19" s="1" cm="1">
        <f t="array" ref="D19">bdPSNRExtend(B7:B10,D7:D10,B3:B6,D3:D6)</f>
        <v>5.0703192121412837</v>
      </c>
      <c r="E19" s="1" cm="1">
        <f t="array" ref="E19">bdPSNRExtend(B7:B10,E7:E10,B3:B6,E3:E6)</f>
        <v>3.2793583500967927</v>
      </c>
      <c r="F19" s="1" cm="1">
        <f t="array" ref="F19">bdPSNRExtend(B7:B10,F7:F10,B3:B6,F3:F6)</f>
        <v>4.7398091254895487</v>
      </c>
      <c r="G19" s="1" cm="1">
        <f t="array" ref="G19">bdPSNRExtend(B7:B10,G7:G10,B3:B6,G3:G6)</f>
        <v>6.7692297635537036E-3</v>
      </c>
      <c r="I19" s="1" cm="1">
        <f t="array" ref="I19">bdPSNRExtend(H7:H10,I7:I10,H3:H6,I3:I6)</f>
        <v>8.4316584372511141</v>
      </c>
      <c r="J19" s="1" cm="1">
        <f t="array" ref="J19">bdPSNRExtend(H7:H10,J7:J10,H3:H6,J3:J6)</f>
        <v>7.7042308670286603</v>
      </c>
      <c r="K19" s="1" cm="1">
        <f t="array" ref="K19">bdPSNRExtend(H7:H10,K7:K10,H3:H6,K3:K6)</f>
        <v>3.730629585231398</v>
      </c>
      <c r="L19" s="1" cm="1">
        <f t="array" ref="L19">bdPSNRExtend(H7:H10,L7:L10,H3:H6,L3:L6)</f>
        <v>5.7624530666462332</v>
      </c>
      <c r="M19" s="1" cm="1">
        <f t="array" ref="M19">bdPSNRExtend(H7:H10,M7:M10,H3:H6,M3:M6)</f>
        <v>7.4870669549293627E-3</v>
      </c>
      <c r="O19" s="1" cm="1">
        <f t="array" ref="O19">bdPSNRExtend(N7:N10,O7:O10,N3:N6,O3:O6)</f>
        <v>7.4853746884019134</v>
      </c>
      <c r="P19" s="1" cm="1">
        <f t="array" ref="P19">bdPSNRExtend(N7:N10,P7:P10,N3:N6,P3:P6)</f>
        <v>5.8548211837268891</v>
      </c>
      <c r="Q19" s="1" cm="1">
        <f t="array" ref="Q19">bdPSNRExtend(N7:N10,Q7:Q10,N3:N6,Q3:Q6)</f>
        <v>2.0414259296903077</v>
      </c>
      <c r="R19" s="1" cm="1">
        <f t="array" ref="R19">bdPSNRExtend(N7:N10,R7:R10,N3:N6,R3:R6)</f>
        <v>3.5074264860941464</v>
      </c>
      <c r="S19" s="1" cm="1">
        <f t="array" ref="S19">bdPSNRExtend(N7:N10,S7:S10,N3:N6,S3:S6)</f>
        <v>6.7579292898446806E-3</v>
      </c>
      <c r="U19" s="1" cm="1">
        <f t="array" ref="U19">bdPSNRExtend(T7:T10,U7:U10,T3:T6,U3:U6)</f>
        <v>5.7406591889489311</v>
      </c>
      <c r="V19" s="1" cm="1">
        <f t="array" ref="V19">bdPSNRExtend(T7:T10,V7:V10,T3:T6,V3:V6)</f>
        <v>4.2901429446647823</v>
      </c>
      <c r="W19" s="1" cm="1">
        <f t="array" ref="W19">bdPSNRExtend(T7:T10,W7:W10,T3:T6,W3:W6)</f>
        <v>1.5662971404044119</v>
      </c>
      <c r="X19" s="1" cm="1">
        <f t="array" ref="X19">bdPSNRExtend(T7:T10,X7:X10,T3:T6,X3:X6)</f>
        <v>2.4935554467277679</v>
      </c>
      <c r="Y19" s="1" cm="1">
        <f t="array" ref="Y19">bdPSNRExtend(T7:T10,Y7:Y10,T3:T6,Y3:Y6)</f>
        <v>5.629785847607551E-3</v>
      </c>
      <c r="AA19" s="1" cm="1">
        <f t="array" ref="AA19">bdPSNRExtend(Z7:Z10,AA7:AA10,Z3:Z6,AA3:AA6)</f>
        <v>7.4327346425505558</v>
      </c>
      <c r="AB19" s="1" cm="1">
        <f t="array" ref="AB19">bdPSNRExtend(Z7:Z10,AB7:AB10,Z3:Z6,AB3:AB6)</f>
        <v>5.8132255988911536</v>
      </c>
      <c r="AC19" s="1" cm="1">
        <f t="array" ref="AC19">bdPSNRExtend(Z7:Z10,AC7:AC10,Z3:Z6,AC3:AC6)</f>
        <v>1.8381874360585091</v>
      </c>
      <c r="AD19" s="1" cm="1">
        <f t="array" ref="AD19">bdPSNRExtend(Z7:Z10,AD7:AD10,Z3:Z6,AD3:AD6)</f>
        <v>4.1860465801024134</v>
      </c>
      <c r="AE19" s="1" cm="1">
        <f t="array" ref="AE19">bdPSNRExtend(Z7:Z10,AE7:AE10,Z3:Z6,AE3:AE6)</f>
        <v>6.5905676901729824E-3</v>
      </c>
      <c r="AG19" s="1" cm="1">
        <f t="array" ref="AG19">bdPSNRExtend(AF7:AF10,AG7:AG10,AF3:AF6,AG3:AG6)</f>
        <v>2.8235177110065668</v>
      </c>
      <c r="AH19" s="1" cm="1">
        <f t="array" ref="AH19">bdPSNRExtend(AF7:AF10,AH7:AH10,AF3:AF6,AH3:AH6)</f>
        <v>1.3425633804681143</v>
      </c>
      <c r="AI19" s="1" cm="1">
        <f t="array" ref="AI19">bdPSNRExtend(AF7:AF10,AI7:AI10,AF3:AF6,AI3:AI6)</f>
        <v>0.69473548277089436</v>
      </c>
      <c r="AJ19" s="1" cm="1">
        <f t="array" ref="AJ19">bdPSNRExtend(AF7:AF10,AJ7:AJ10,AF3:AF6,AJ3:AJ6)</f>
        <v>0.60452610655633132</v>
      </c>
      <c r="AK19" s="1" cm="1">
        <f t="array" ref="AK19">bdPSNRExtend(AF7:AF10,AK7:AK10,AF3:AF6,AK3:AK6)</f>
        <v>4.5346090293561982E-3</v>
      </c>
      <c r="AM19" s="1" cm="1">
        <f t="array" ref="AM19">bdPSNRExtend(AL7:AL10,AM7:AM10,AL3:AL6,AM3:AM6)</f>
        <v>7.6147273958910349</v>
      </c>
      <c r="AN19" s="1" cm="1">
        <f t="array" ref="AN19">bdPSNRExtend(AL7:AL10,AN7:AN10,AL3:AL6,AN3:AN6)</f>
        <v>6.7340235293343831</v>
      </c>
      <c r="AO19" s="1" cm="1">
        <f t="array" ref="AO19">bdPSNRExtend(AL7:AL10,AO7:AO10,AL3:AL6,AO3:AO6)</f>
        <v>1.2802707785892706</v>
      </c>
      <c r="AP19" s="1" cm="1">
        <f t="array" ref="AP19">bdPSNRExtend(AL7:AL10,AP7:AP10,AL3:AL6,AP3:AP6)</f>
        <v>2.1160037470001503</v>
      </c>
      <c r="AQ19" s="1" cm="1">
        <f t="array" ref="AQ19">bdPSNRExtend(AL7:AL10,AQ7:AQ10,AL3:AL6,AQ3:AQ6)</f>
        <v>5.9108144914178963E-3</v>
      </c>
      <c r="AS19" s="1" cm="1">
        <f t="array" ref="AS19">bdPSNRExtend(AR7:AR10,AS7:AS10,AR3:AR6,AS3:AS6)</f>
        <v>7.6977088286214528</v>
      </c>
      <c r="AT19" s="1" cm="1">
        <f t="array" ref="AT19">bdPSNRExtend(AR7:AR10,AT7:AT10,AR3:AR6,AT3:AT6)</f>
        <v>6.3532269859765167</v>
      </c>
      <c r="AU19" s="1" cm="1">
        <f t="array" ref="AU19">bdPSNRExtend(AR7:AR10,AU7:AU10,AR3:AR6,AU3:AU6)</f>
        <v>1.2728095662406544</v>
      </c>
      <c r="AV19" s="1" cm="1">
        <f t="array" ref="AV19">bdPSNRExtend(AR7:AR10,AV7:AV10,AR3:AR6,AV3:AV6)</f>
        <v>2.3723678682782285</v>
      </c>
      <c r="AW19" s="1" cm="1">
        <f t="array" ref="AW19">bdPSNRExtend(AR7:AR10,AW7:AW10,AR3:AR6,AW3:AW6)</f>
        <v>5.702803012165799E-3</v>
      </c>
      <c r="AY19" s="1" cm="1">
        <f t="array" ref="AY19">bdPSNRExtend(AX7:AX10,AY7:AY10,AX3:AX6,AY3:AY6)</f>
        <v>4.1383221478978349</v>
      </c>
      <c r="AZ19" s="1" cm="1">
        <f t="array" ref="AZ19">bdPSNRExtend(AX7:AX10,AZ7:AZ10,AX3:AX6,AZ3:AZ6)</f>
        <v>3.4925298374774143</v>
      </c>
      <c r="BA19" s="1" cm="1">
        <f t="array" ref="BA19">bdPSNRExtend(AX7:AX10,BA7:BA10,AX3:AX6,BA3:BA6)</f>
        <v>2.4810268785815239</v>
      </c>
      <c r="BB19" s="1" cm="1">
        <f t="array" ref="BB19">bdPSNRExtend(AX7:AX10,BB7:BB10,AX3:AX6,BB3:BB6)</f>
        <v>3.1343723376570871</v>
      </c>
      <c r="BC19" s="1" cm="1">
        <f t="array" ref="BC19">bdPSNRExtend(AX7:AX10,BC7:BC10,AX3:AX6,BC3:BC6)</f>
        <v>6.7519928925450336E-3</v>
      </c>
      <c r="BE19" s="1" cm="1">
        <f t="array" ref="BE19">bdPSNRExtend(BD7:BD10,BE7:BE10,BD3:BD6,BE3:BE6)</f>
        <v>5.8547608428867468</v>
      </c>
      <c r="BF19" s="1" cm="1">
        <f t="array" ref="BF19">bdPSNRExtend(BD7:BD10,BF7:BF10,BD3:BD6,BF3:BF6)</f>
        <v>4.1207240409983452</v>
      </c>
      <c r="BG19" s="1" cm="1">
        <f t="array" ref="BG19">bdPSNRExtend(BD7:BD10,BG7:BG10,BD3:BD6,BG3:BG6)</f>
        <v>3.6133839465048432</v>
      </c>
      <c r="BH19" s="1" cm="1">
        <f t="array" ref="BH19">bdPSNRExtend(BD7:BD10,BH7:BH10,BD3:BD6,BH3:BH6)</f>
        <v>6.1707801276157941</v>
      </c>
      <c r="BI19" s="1" cm="1">
        <f t="array" ref="BI19">bdPSNRExtend(BD7:BD10,BI7:BI10,BD3:BD6,BI3:BI6)</f>
        <v>1.0824447538596604E-2</v>
      </c>
      <c r="BK19" s="1" cm="1">
        <f t="array" ref="BK19">bdPSNRExtend(BJ7:BJ10,BK7:BK10,BJ3:BJ6,BK3:BK6)</f>
        <v>7.8353994522599235</v>
      </c>
      <c r="BL19" s="1" cm="1">
        <f t="array" ref="BL19">bdPSNRExtend(BJ7:BJ10,BL7:BL10,BJ3:BJ6,BL3:BL6)</f>
        <v>7.0556272918783529</v>
      </c>
      <c r="BM19" s="1" cm="1">
        <f t="array" ref="BM19">bdPSNRExtend(BJ7:BJ10,BM7:BM10,BJ3:BJ6,BM3:BM6)</f>
        <v>1.6314747414759849</v>
      </c>
      <c r="BN19" s="1" cm="1">
        <f t="array" ref="BN19">bdPSNRExtend(BJ7:BJ10,BN7:BN10,BJ3:BJ6,BN3:BN6)</f>
        <v>2.1527249585830801</v>
      </c>
      <c r="BO19" s="1" cm="1">
        <f t="array" ref="BO19">bdPSNRExtend(BJ7:BJ10,BO7:BO10,BJ3:BJ6,BO3:BO6)</f>
        <v>5.3094921515319049E-3</v>
      </c>
      <c r="BQ19" s="1" cm="1">
        <f t="array" ref="BQ19">bdPSNRExtend(BP7:BP10,BQ7:BQ10,BP3:BP6,BQ3:BQ6)</f>
        <v>5.8257452707379898</v>
      </c>
      <c r="BR19" s="1" cm="1">
        <f t="array" ref="BR19">bdPSNRExtend(BP7:BP10,BR7:BR10,BP3:BP6,BR3:BR6)</f>
        <v>4.1810572396934411</v>
      </c>
      <c r="BS19" s="1" cm="1">
        <f t="array" ref="BS19">bdPSNRExtend(BP7:BP10,BS7:BS10,BP3:BP6,BS3:BS6)</f>
        <v>1.1944862977337365</v>
      </c>
      <c r="BT19" s="1" cm="1">
        <f t="array" ref="BT19">bdPSNRExtend(BP7:BP10,BT7:BT10,BP3:BP6,BT3:BT6)</f>
        <v>1.2542256542691086</v>
      </c>
      <c r="BU19" s="1" cm="1">
        <f t="array" ref="BU19">bdPSNRExtend(BP7:BP10,BU7:BU10,BP3:BP6,BU3:BU6)</f>
        <v>6.2165904439322097E-3</v>
      </c>
      <c r="BW19" s="1" cm="1">
        <f t="array" ref="BW19">bdPSNRExtend(BV7:BV10,BW7:BW10,BV3:BV6,BW3:BW6)</f>
        <v>9.1837066554771702</v>
      </c>
      <c r="BX19" s="1" cm="1">
        <f t="array" ref="BX19">bdPSNRExtend(BV7:BV10,BX7:BX10,BV3:BV6,BX3:BX6)</f>
        <v>7.9840097420858029</v>
      </c>
      <c r="BY19" s="1" cm="1">
        <f t="array" ref="BY19">bdPSNRExtend(BV7:BV10,BY7:BY10,BV3:BV6,BY3:BY6)</f>
        <v>6.7441376621371409</v>
      </c>
      <c r="BZ19" s="1" cm="1">
        <f t="array" ref="BZ19">bdPSNRExtend(BV7:BV10,BZ7:BZ10,BV3:BV6,BZ3:BZ6)</f>
        <v>9.0932476160619977</v>
      </c>
      <c r="CA19" s="1" cm="1">
        <f t="array" ref="CA19">bdPSNRExtend(BV7:BV10,CA7:CA10,BV3:BV6,CA3:CA6)</f>
        <v>1.3621332537061433E-2</v>
      </c>
      <c r="CC19" s="1" cm="1">
        <f t="array" ref="CC19">bdPSNRExtend(CB7:CB10,CC7:CC10,CB3:CB6,CC3:CC6)</f>
        <v>6.114873003821411</v>
      </c>
      <c r="CD19" s="1" cm="1">
        <f t="array" ref="CD19">bdPSNRExtend(CB7:CB10,CD7:CD10,CB3:CB6,CD3:CD6)</f>
        <v>5.245031159334987</v>
      </c>
      <c r="CE19" s="1" cm="1">
        <f t="array" ref="CE19">bdPSNRExtend(CB7:CB10,CE7:CE10,CB3:CB6,CE3:CE6)</f>
        <v>1.6072023495700247</v>
      </c>
      <c r="CF19" s="1" cm="1">
        <f t="array" ref="CF19">bdPSNRExtend(CB7:CB10,CF7:CF10,CB3:CB6,CF3:CF6)</f>
        <v>1.9263830730382514</v>
      </c>
      <c r="CG19" s="1" cm="1">
        <f t="array" ref="CG19">bdPSNRExtend(CB7:CB10,CG7:CG10,CB3:CB6,CG3:CG6)</f>
        <v>5.0911386265018463E-3</v>
      </c>
      <c r="CI19" s="1" cm="1">
        <f t="array" ref="CI19">bdPSNRExtend(CH7:CH10,CI7:CI10,CH3:CH6,CI3:CI6)</f>
        <v>5.0903978419420755</v>
      </c>
      <c r="CJ19" s="1" cm="1">
        <f t="array" ref="CJ19">bdPSNRExtend(CH7:CH10,CJ7:CJ10,CH3:CH6,CJ3:CJ6)</f>
        <v>3.6610599412070362</v>
      </c>
      <c r="CK19" s="1" cm="1">
        <f t="array" ref="CK19">bdPSNRExtend(CH7:CH10,CK7:CK10,CH3:CH6,CK3:CK6)</f>
        <v>3.1374837294248512</v>
      </c>
      <c r="CL19" s="1" cm="1">
        <f t="array" ref="CL19">bdPSNRExtend(CH7:CH10,CL7:CL10,CH3:CH6,CL3:CL6)</f>
        <v>3.1985683535323912</v>
      </c>
      <c r="CM19" s="1" cm="1">
        <f t="array" ref="CM19">bdPSNRExtend(CH7:CH10,CM7:CM10,CH3:CH6,CM3:CM6)</f>
        <v>7.0084192954453176E-3</v>
      </c>
      <c r="CO19" s="1" cm="1">
        <f t="array" ref="CO19">bdPSNRExtend(CN7:CN10,CO7:CO10,CN3:CN6,CO3:CO6)</f>
        <v>8.6008108733847735</v>
      </c>
      <c r="CP19" s="1" cm="1">
        <f t="array" ref="CP19">bdPSNRExtend(CN7:CN10,CP7:CP10,CN3:CN6,CP3:CP6)</f>
        <v>7.4383386666768692</v>
      </c>
      <c r="CQ19" s="1" cm="1">
        <f t="array" ref="CQ19">bdPSNRExtend(CN7:CN10,CQ7:CQ10,CN3:CN6,CQ3:CQ6)</f>
        <v>2.6840282731244702</v>
      </c>
      <c r="CR19" s="1" cm="1">
        <f t="array" ref="CR19">bdPSNRExtend(CN7:CN10,CR7:CR10,CN3:CN6,CR3:CR6)</f>
        <v>2.9508278890155006</v>
      </c>
      <c r="CS19" s="1" cm="1">
        <f t="array" ref="CS19">bdPSNRExtend(CN7:CN10,CS7:CS10,CN3:CN6,CS3:CS6)</f>
        <v>5.5729183139507183E-3</v>
      </c>
      <c r="CU19" s="1" cm="1">
        <f t="array" ref="CU19">bdPSNRExtend(CT7:CT10,CU7:CU10,CT3:CT6,CU3:CU6)</f>
        <v>4.5856541605221084</v>
      </c>
      <c r="CV19" s="1" cm="1">
        <f t="array" ref="CV19">bdPSNRExtend(CT7:CT10,CV7:CV10,CT3:CT6,CV3:CV6)</f>
        <v>4.1002751657020138</v>
      </c>
      <c r="CW19" s="1" cm="1">
        <f t="array" ref="CW19">bdPSNRExtend(CT7:CT10,CW7:CW10,CT3:CT6,CW3:CW6)</f>
        <v>1.5418212263041864</v>
      </c>
      <c r="CX19" s="1" cm="1">
        <f t="array" ref="CX19">bdPSNRExtend(CT7:CT10,CX7:CX10,CT3:CT6,CX3:CX6)</f>
        <v>1.9781491393059931</v>
      </c>
      <c r="CY19" s="1" cm="1">
        <f t="array" ref="CY19">bdPSNRExtend(CT7:CT10,CY7:CY10,CT3:CT6,CY3:CY6)</f>
        <v>5.2255168583753954E-3</v>
      </c>
      <c r="DA19" s="1" cm="1">
        <f t="array" ref="DA19">bdPSNRExtend(CZ7:CZ10,DA7:DA10,CZ3:CZ6,DA3:DA6)</f>
        <v>6.7529401029666136</v>
      </c>
      <c r="DB19" s="1" cm="1">
        <f t="array" ref="DB19">bdPSNRExtend(CZ7:CZ10,DB7:DB10,CZ3:CZ6,DB3:DB6)</f>
        <v>6.0185395739997869</v>
      </c>
      <c r="DC19" s="1" cm="1">
        <f t="array" ref="DC19">bdPSNRExtend(CZ7:CZ10,DC7:DC10,CZ3:CZ6,DC3:DC6)</f>
        <v>4.3181061499848701</v>
      </c>
      <c r="DD19" s="1" cm="1">
        <f t="array" ref="DD19">bdPSNRExtend(CZ7:CZ10,DD7:DD10,CZ3:CZ6,DD3:DD6)</f>
        <v>6.3254858205921849</v>
      </c>
      <c r="DE19" s="1" cm="1">
        <f t="array" ref="DE19">bdPSNRExtend(CZ7:CZ10,DE7:DE10,CZ3:CZ6,DE3:DE6)</f>
        <v>6.8144265752543391E-3</v>
      </c>
      <c r="DG19" s="1" cm="1">
        <f t="array" ref="DG19">bdPSNRExtend(DF7:DF10,DG7:DG10,DF3:DF6,DG3:DG6)</f>
        <v>5.476160231602222</v>
      </c>
      <c r="DH19" s="1" cm="1">
        <f t="array" ref="DH19">bdPSNRExtend(DF7:DF10,DH7:DH10,DF3:DF6,DH3:DH6)</f>
        <v>4.5481821447942661</v>
      </c>
      <c r="DI19" s="1" cm="1">
        <f t="array" ref="DI19">bdPSNRExtend(DF7:DF10,DI7:DI10,DF3:DF6,DI3:DI6)</f>
        <v>1.377449627071935</v>
      </c>
      <c r="DJ19" s="1" cm="1">
        <f t="array" ref="DJ19">bdPSNRExtend(DF7:DF10,DJ7:DJ10,DF3:DF6,DJ3:DJ6)</f>
        <v>2.1482246233717057</v>
      </c>
      <c r="DK19" s="1" cm="1">
        <f t="array" ref="DK19">bdPSNRExtend(DF7:DF10,DK7:DK10,DF3:DF6,DK3:DK6)</f>
        <v>3.9418365980376175E-3</v>
      </c>
      <c r="DM19" s="1" cm="1">
        <f t="array" ref="DM19">bdPSNRExtend(DL7:DL10,DM7:DM10,DL3:DL6,DM3:DM6)</f>
        <v>8.6240817862076931</v>
      </c>
      <c r="DN19" s="1" cm="1">
        <f t="array" ref="DN19">bdPSNRExtend(DL7:DL10,DN7:DN10,DL3:DL6,DN3:DN6)</f>
        <v>6.597192083794936</v>
      </c>
      <c r="DO19" s="1" cm="1">
        <f t="array" ref="DO19">bdPSNRExtend(DL7:DL10,DO7:DO10,DL3:DL6,DO3:DO6)</f>
        <v>3.7880972528585928</v>
      </c>
      <c r="DP19" s="1" cm="1">
        <f t="array" ref="DP19">bdPSNRExtend(DL7:DL10,DP7:DP10,DL3:DL6,DP3:DP6)</f>
        <v>4.8069991358763788</v>
      </c>
      <c r="DQ19" s="1" cm="1">
        <f t="array" ref="DQ19">bdPSNRExtend(DL7:DL10,DQ7:DQ10,DL3:DL6,DQ3:DQ6)</f>
        <v>8.9118196571248403E-3</v>
      </c>
      <c r="DR19" s="20"/>
      <c r="DS19" s="1" cm="1">
        <f t="array" ref="DS19">bdPSNRExtend(DR7:DR10,DS7:DS10,DR3:DR6,DS3:DS6)</f>
        <v>3.7411475212565839</v>
      </c>
      <c r="DT19" s="1" cm="1">
        <f t="array" ref="DT19">bdPSNRExtend(DR7:DR10,DT7:DT10,DR3:DR6,DT3:DT6)</f>
        <v>3.3354406857882104</v>
      </c>
      <c r="DU19" s="1" cm="1">
        <f t="array" ref="DU19">bdPSNRExtend(DR7:DR10,DU7:DU10,DR3:DR6,DU3:DU6)</f>
        <v>1.1111602861303373</v>
      </c>
      <c r="DV19" s="1" cm="1">
        <f t="array" ref="DV19">bdPSNRExtend(DR7:DR10,DV7:DV10,DR3:DR6,DV3:DV6)</f>
        <v>2.0835390466383417</v>
      </c>
      <c r="DW19" s="1" cm="1">
        <f t="array" ref="DW19">bdPSNRExtend(DR7:DR10,DW7:DW10,DR3:DR6,DW3:DW6)</f>
        <v>4.3688618025183252E-3</v>
      </c>
      <c r="DY19" s="1" cm="1">
        <f t="array" ref="DY19">bdPSNRExtend(DX7:DX10,DY7:DY10,DX3:DX6,DY3:DY6)</f>
        <v>0.93231501004518913</v>
      </c>
      <c r="DZ19" s="1" cm="1">
        <f t="array" ref="DZ19">bdPSNRExtend(DX7:DX10,DZ7:DZ10,DX3:DX6,DZ3:DZ6)</f>
        <v>0.84173196567162889</v>
      </c>
      <c r="EA19" s="1" cm="1">
        <f t="array" ref="EA19">bdPSNRExtend(DX7:DX10,EA7:EA10,DX3:DX6,EA3:EA6)</f>
        <v>-0.462451881570423</v>
      </c>
      <c r="EB19" s="1" cm="1">
        <f t="array" ref="EB19">bdPSNRExtend(DX7:DX10,EB7:EB10,DX3:DX6,EB3:EB6)</f>
        <v>0.66668057772910116</v>
      </c>
      <c r="EC19" s="1" cm="1">
        <f t="array" ref="EC19">bdPSNRExtend(DX7:DX10,EC7:EC10,DX3:DX6,EC3:EC6)</f>
        <v>3.8937572747830972E-3</v>
      </c>
      <c r="EE19" s="1" cm="1">
        <f t="array" ref="EE19">bdPSNRExtend(ED7:ED10,EE7:EE10,ED3:ED6,EE3:EE6)</f>
        <v>1.2675208869031847</v>
      </c>
      <c r="EF19" s="1" cm="1">
        <f t="array" ref="EF19">bdPSNRExtend(ED7:ED10,EF7:EF10,ED3:ED6,EF3:EF6)</f>
        <v>0.50099260150763614</v>
      </c>
      <c r="EG19" s="1" cm="1">
        <f t="array" ref="EG19">bdPSNRExtend(ED7:ED10,EG7:EG10,ED3:ED6,EG3:EG6)</f>
        <v>7.5274079392614907E-2</v>
      </c>
      <c r="EH19" s="1" cm="1">
        <f t="array" ref="EH19">bdPSNRExtend(ED7:ED10,EH7:EH10,ED3:ED6,EH3:EH6)</f>
        <v>1.1149897353293692</v>
      </c>
      <c r="EI19" s="1" cm="1">
        <f t="array" ref="EI19">bdPSNRExtend(ED7:ED10,EI7:EI10,ED3:ED6,EI3:EI6)</f>
        <v>2.0688923805255053E-3</v>
      </c>
      <c r="EK19" s="1" cm="1">
        <f t="array" ref="EK19">bdPSNRExtend(EJ7:EJ10,EK7:EK10,EJ3:EJ6,EK3:EK6)</f>
        <v>1.7737430475189093</v>
      </c>
      <c r="EL19" s="1" cm="1">
        <f t="array" ref="EL19">bdPSNRExtend(EJ7:EJ10,EL7:EL10,EJ3:EJ6,EL3:EL6)</f>
        <v>1.3521911443765022</v>
      </c>
      <c r="EM19" s="1" cm="1">
        <f t="array" ref="EM19">bdPSNRExtend(EJ7:EJ10,EM7:EM10,EJ3:EJ6,EM3:EM6)</f>
        <v>0.96458537486465001</v>
      </c>
      <c r="EN19" s="1" cm="1">
        <f t="array" ref="EN19">bdPSNRExtend(EJ7:EJ10,EN7:EN10,EJ3:EJ6,EN3:EN6)</f>
        <v>1.646556978407427</v>
      </c>
      <c r="EO19" s="1" cm="1">
        <f t="array" ref="EO19">bdPSNRExtend(EJ7:EJ10,EO7:EO10,EJ3:EJ6,EO3:EO6)</f>
        <v>4.8482948399720845E-3</v>
      </c>
      <c r="EQ19" s="1" cm="1">
        <f t="array" ref="EQ19">bdPSNRExtend(EP7:EP10,EQ7:EQ10,EP3:EP6,EQ3:EQ6)</f>
        <v>1.387260366553424</v>
      </c>
      <c r="ER19" s="1" cm="1">
        <f t="array" ref="ER19">bdPSNRExtend(EP7:EP10,ER7:ER10,EP3:EP6,ER3:ER6)</f>
        <v>-0.11517939704838968</v>
      </c>
      <c r="ES19" s="1" cm="1">
        <f t="array" ref="ES19">bdPSNRExtend(EP7:EP10,ES7:ES10,EP3:EP6,ES3:ES6)</f>
        <v>1.4460350030943621</v>
      </c>
      <c r="ET19" s="1" cm="1">
        <f t="array" ref="ET19">bdPSNRExtend(EP7:EP10,ET7:ET10,EP3:EP6,ET3:ET6)</f>
        <v>2.1463380896964424</v>
      </c>
      <c r="EU19" s="1" cm="1">
        <f t="array" ref="EU19">bdPSNRExtend(EP7:EP10,EU7:EU10,EP3:EP6,EU3:EU6)</f>
        <v>6.1130656644942357E-3</v>
      </c>
    </row>
    <row r="20" spans="1:151">
      <c r="A20" s="44" t="s">
        <v>91</v>
      </c>
      <c r="B20" t="s">
        <v>43</v>
      </c>
      <c r="C20" s="10" cm="1">
        <f t="array" ref="C20">bdRateExtend(B11:B14,C11:C14,B3:B6,C3:C6)</f>
        <v>1.7294176989060439E-2</v>
      </c>
      <c r="D20" s="10" cm="1">
        <f t="array" ref="D20">bdRateExtend(B11:B14,D11:D14,B3:B6,D3:D6)</f>
        <v>4.8439342127458485E-2</v>
      </c>
      <c r="E20" s="10" cm="1">
        <f t="array" ref="E20">bdRateExtend(B11:B14,E11:E14,B3:B6,E3:E6)</f>
        <v>1.3184180386208744</v>
      </c>
      <c r="F20" s="10" cm="1">
        <f t="array" ref="F20">bdRateExtend(B11:B14,F11:F14,B3:B6,F3:F6)</f>
        <v>1.317806493963078</v>
      </c>
      <c r="G20" s="10" cm="1">
        <f t="array" ref="G20">bdRateExtend(B11:B14,G11:G14,B3:B6,G3:G6)</f>
        <v>0.73966525940390282</v>
      </c>
      <c r="I20" s="10" cm="1">
        <f t="array" ref="I20">bdRateExtend(H11:H14,I11:I14,H3:H6,I3:I6)</f>
        <v>-0.11523884389836891</v>
      </c>
      <c r="J20" s="10" cm="1">
        <f t="array" ref="J20">bdRateExtend(H11:H14,J11:J14,H3:H6,J3:J6)</f>
        <v>-0.11302054342723378</v>
      </c>
      <c r="K20" s="10" cm="1">
        <f t="array" ref="K20">bdRateExtend(H11:H14,K11:K14,H3:H6,K3:K6)</f>
        <v>3.1154106686711467</v>
      </c>
      <c r="L20" s="10" cm="1">
        <f t="array" ref="L20">bdRateExtend(H11:H14,L11:L14,H3:H6,L3:L6)</f>
        <v>2.712011788893407</v>
      </c>
      <c r="M20" s="10" cm="1">
        <f t="array" ref="M20">bdRateExtend(H11:H14,M11:M14,H3:H6,M3:M6)</f>
        <v>1.1298862007889685</v>
      </c>
      <c r="O20" s="10" cm="1">
        <f t="array" ref="O20">bdRateExtend(N11:N14,O11:O14,N3:N6,O3:O6)</f>
        <v>3.6158948965968385E-2</v>
      </c>
      <c r="P20" s="10" cm="1">
        <f t="array" ref="P20">bdRateExtend(N11:N14,P11:P14,N3:N6,P3:P6)</f>
        <v>9.9344283044574322E-2</v>
      </c>
      <c r="Q20" s="10" cm="1">
        <f t="array" ref="Q20">bdRateExtend(N11:N14,Q11:Q14,N3:N6,Q3:Q6)</f>
        <v>1.4970894243087773</v>
      </c>
      <c r="R20" s="10" cm="1">
        <f t="array" ref="R20">bdRateExtend(N11:N14,R11:R14,N3:N6,R3:R6)</f>
        <v>1.1096877580086351</v>
      </c>
      <c r="S20" s="10" cm="1">
        <f t="array" ref="S20">bdRateExtend(N11:N14,S11:S14,N3:N6,S3:S6)</f>
        <v>0.94187504831120705</v>
      </c>
      <c r="U20" s="10" cm="1">
        <f t="array" ref="U20">bdRateExtend(T11:T14,U11:U14,T3:T6,U3:U6)</f>
        <v>-0.13099963525958669</v>
      </c>
      <c r="V20" s="10" cm="1">
        <f t="array" ref="V20">bdRateExtend(T11:T14,V11:V14,T3:T6,V3:V6)</f>
        <v>-5.337712074161538E-2</v>
      </c>
      <c r="W20" s="10" cm="1">
        <f t="array" ref="W20">bdRateExtend(T11:T14,W11:W14,T3:T6,W3:W6)</f>
        <v>0.43045561964675216</v>
      </c>
      <c r="X20" s="10" cm="1">
        <f t="array" ref="X20">bdRateExtend(T11:T14,X11:X14,T3:T6,X3:X6)</f>
        <v>0.49642707750563186</v>
      </c>
      <c r="Y20" s="10" cm="1">
        <f t="array" ref="Y20">bdRateExtend(T11:T14,Y11:Y14,T3:T6,Y3:Y6)</f>
        <v>0.34264055756654987</v>
      </c>
      <c r="AA20" s="10" cm="1">
        <f t="array" ref="AA20">bdRateExtend(Z11:Z14,AA11:AA14,Z3:Z6,AA3:AA6)</f>
        <v>0.17085116918622978</v>
      </c>
      <c r="AB20" s="10" cm="1">
        <f t="array" ref="AB20">bdRateExtend(Z11:Z14,AB11:AB14,Z3:Z6,AB3:AB6)</f>
        <v>0.26892212931266202</v>
      </c>
      <c r="AC20" s="10" cm="1">
        <f t="array" ref="AC20">bdRateExtend(Z11:Z14,AC11:AC14,Z3:Z6,AC3:AC6)</f>
        <v>1.9271343600543549</v>
      </c>
      <c r="AD20" s="10" cm="1">
        <f t="array" ref="AD20">bdRateExtend(Z11:Z14,AD11:AD14,Z3:Z6,AD3:AD6)</f>
        <v>1.8581070099954169</v>
      </c>
      <c r="AE20" s="10" cm="1">
        <f t="array" ref="AE20">bdRateExtend(Z11:Z14,AE11:AE14,Z3:Z6,AE3:AE6)</f>
        <v>1.6205799321895924</v>
      </c>
      <c r="AG20" s="10" cm="1">
        <f t="array" ref="AG20">bdRateExtend(AF11:AF14,AG11:AG14,AF3:AF6,AG3:AG6)</f>
        <v>9.7222602773137101E-2</v>
      </c>
      <c r="AH20" s="10" cm="1">
        <f t="array" ref="AH20">bdRateExtend(AF11:AF14,AH11:AH14,AF3:AF6,AH3:AH6)</f>
        <v>-3.8248917409737571E-2</v>
      </c>
      <c r="AI20" s="10" cm="1">
        <f t="array" ref="AI20">bdRateExtend(AF11:AF14,AI11:AI14,AF3:AF6,AI3:AI6)</f>
        <v>1.0842355814429214</v>
      </c>
      <c r="AJ20" s="10" cm="1">
        <f t="array" ref="AJ20">bdRateExtend(AF11:AF14,AJ11:AJ14,AF3:AF6,AJ3:AJ6)</f>
        <v>1.8248729862574224</v>
      </c>
      <c r="AK20" s="10" cm="1">
        <f t="array" ref="AK20">bdRateExtend(AF11:AF14,AK11:AK14,AF3:AF6,AK3:AK6)</f>
        <v>0.82035102100651502</v>
      </c>
      <c r="AM20" s="10" cm="1">
        <f t="array" ref="AM20">bdRateExtend(AL11:AL14,AM11:AM14,AL3:AL6,AM3:AM6)</f>
        <v>0.76161678004546318</v>
      </c>
      <c r="AN20" s="10" cm="1">
        <f t="array" ref="AN20">bdRateExtend(AL11:AL14,AN11:AN14,AL3:AL6,AN3:AN6)</f>
        <v>0.74023135893030045</v>
      </c>
      <c r="AO20" s="10" cm="1">
        <f t="array" ref="AO20">bdRateExtend(AL11:AL14,AO11:AO14,AL3:AL6,AO3:AO6)</f>
        <v>3.9348572089972453</v>
      </c>
      <c r="AP20" s="10" cm="1">
        <f t="array" ref="AP20">bdRateExtend(AL11:AL14,AP11:AP14,AL3:AL6,AP3:AP6)</f>
        <v>3.9914900739741181</v>
      </c>
      <c r="AQ20" s="10" cm="1">
        <f t="array" ref="AQ20">bdRateExtend(AL11:AL14,AQ11:AQ14,AL3:AL6,AQ3:AQ6)</f>
        <v>2.6068636443764759</v>
      </c>
      <c r="AS20" s="10" cm="1">
        <f t="array" ref="AS20">bdRateExtend(AR11:AR14,AS11:AS14,AR3:AR6,AS3:AS6)</f>
        <v>0.11569086449455024</v>
      </c>
      <c r="AT20" s="10" cm="1">
        <f t="array" ref="AT20">bdRateExtend(AR11:AR14,AT11:AT14,AR3:AR6,AT3:AT6)</f>
        <v>0.20984185165191427</v>
      </c>
      <c r="AU20" s="10" cm="1">
        <f t="array" ref="AU20">bdRateExtend(AR11:AR14,AU11:AU14,AR3:AR6,AU3:AU6)</f>
        <v>1.7845904047764685</v>
      </c>
      <c r="AV20" s="10" cm="1">
        <f t="array" ref="AV20">bdRateExtend(AR11:AR14,AV11:AV14,AR3:AR6,AV3:AV6)</f>
        <v>4.2784187457557072</v>
      </c>
      <c r="AW20" s="10" cm="1">
        <f t="array" ref="AW20">bdRateExtend(AR11:AR14,AW11:AW14,AR3:AR6,AW3:AW6)</f>
        <v>1.2865254815300076</v>
      </c>
      <c r="AY20" s="10" cm="1">
        <f t="array" ref="AY20">bdRateExtend(AX11:AX14,AY11:AY14,AX3:AX6,AY3:AY6)</f>
        <v>0.84990640185341615</v>
      </c>
      <c r="AZ20" s="10" cm="1">
        <f t="array" ref="AZ20">bdRateExtend(AX11:AX14,AZ11:AZ14,AX3:AX6,AZ3:AZ6)</f>
        <v>0.96408343647826356</v>
      </c>
      <c r="BA20" s="10" cm="1">
        <f t="array" ref="BA20">bdRateExtend(AX11:AX14,BA11:BA14,AX3:AX6,BA3:BA6)</f>
        <v>3.5225622474541138</v>
      </c>
      <c r="BB20" s="10" cm="1">
        <f t="array" ref="BB20">bdRateExtend(AX11:AX14,BB11:BB14,AX3:AX6,BB3:BB6)</f>
        <v>4.0453789854812809</v>
      </c>
      <c r="BC20" s="10" cm="1">
        <f t="array" ref="BC20">bdRateExtend(AX11:AX14,BC11:BC14,AX3:AX6,BC3:BC6)</f>
        <v>4.0696899846827694</v>
      </c>
      <c r="BE20" s="10" cm="1">
        <f t="array" ref="BE20">bdRateExtend(BD11:BD14,BE11:BE14,BD3:BD6,BE3:BE6)</f>
        <v>-0.70109183908849071</v>
      </c>
      <c r="BF20" s="10" cm="1">
        <f t="array" ref="BF20">bdRateExtend(BD11:BD14,BF11:BF14,BD3:BD6,BF3:BF6)</f>
        <v>-0.60913732201499182</v>
      </c>
      <c r="BG20" s="10" cm="1">
        <f t="array" ref="BG20">bdRateExtend(BD11:BD14,BG11:BG14,BD3:BD6,BG3:BG6)</f>
        <v>0.68080369592389922</v>
      </c>
      <c r="BH20" s="10" cm="1">
        <f t="array" ref="BH20">bdRateExtend(BD11:BD14,BH11:BH14,BD3:BD6,BH3:BH6)</f>
        <v>1</v>
      </c>
      <c r="BI20" s="10" cm="1">
        <f t="array" ref="BI20">bdRateExtend(BD11:BD14,BI11:BI14,BD3:BD6,BI3:BI6)</f>
        <v>1</v>
      </c>
      <c r="BK20" s="10" cm="1">
        <f t="array" ref="BK20">bdRateExtend(BJ11:BJ14,BK11:BK14,BJ3:BJ6,BK3:BK6)</f>
        <v>2.0102723542219554</v>
      </c>
      <c r="BL20" s="10" cm="1">
        <f t="array" ref="BL20">bdRateExtend(BJ11:BJ14,BL11:BL14,BJ3:BJ6,BL3:BL6)</f>
        <v>2.6604074377984901</v>
      </c>
      <c r="BM20" s="10" cm="1">
        <f t="array" ref="BM20">bdRateExtend(BJ11:BJ14,BM11:BM14,BJ3:BJ6,BM3:BM6)</f>
        <v>3.9673263008590869</v>
      </c>
      <c r="BN20" s="10" cm="1">
        <f t="array" ref="BN20">bdRateExtend(BJ11:BJ14,BN11:BN14,BJ3:BJ6,BN3:BN6)</f>
        <v>4.0295567703011299</v>
      </c>
      <c r="BO20" s="10" cm="1">
        <f t="array" ref="BO20">bdRateExtend(BJ11:BJ14,BO11:BO14,BJ3:BJ6,BO3:BO6)</f>
        <v>3.2547032121495896</v>
      </c>
      <c r="BQ20" s="10" cm="1">
        <f t="array" ref="BQ20">bdRateExtend(BP11:BP14,BQ11:BQ14,BP3:BP6,BQ3:BQ6)</f>
        <v>0.55553825757860364</v>
      </c>
      <c r="BR20" s="10" cm="1">
        <f t="array" ref="BR20">bdRateExtend(BP11:BP14,BR11:BR14,BP3:BP6,BR3:BR6)</f>
        <v>0.29218174576162892</v>
      </c>
      <c r="BS20" s="10" cm="1">
        <f t="array" ref="BS20">bdRateExtend(BP11:BP14,BS11:BS14,BP3:BP6,BS3:BS6)</f>
        <v>1.6644348947915364</v>
      </c>
      <c r="BT20" s="10" cm="1">
        <f t="array" ref="BT20">bdRateExtend(BP11:BP14,BT11:BT14,BP3:BP6,BT3:BT6)</f>
        <v>2.3905235361096362</v>
      </c>
      <c r="BU20" s="10" cm="1">
        <f t="array" ref="BU20">bdRateExtend(BP11:BP14,BU11:BU14,BP3:BP6,BU3:BU6)</f>
        <v>1.4694366058290012</v>
      </c>
      <c r="BW20" s="10" cm="1">
        <f t="array" ref="BW20">bdRateExtend(BV11:BV14,BW11:BW14,BV3:BV6,BW3:BW6)</f>
        <v>-0.43670483863539022</v>
      </c>
      <c r="BX20" s="10" cm="1">
        <f t="array" ref="BX20">bdRateExtend(BV11:BV14,BX11:BX14,BV3:BV6,BX3:BX6)</f>
        <v>-2.0864506230258151E-3</v>
      </c>
      <c r="BY20" s="10" cm="1">
        <f t="array" ref="BY20">bdRateExtend(BV11:BV14,BY11:BY14,BV3:BV6,BY3:BY6)</f>
        <v>3.1091566822142429</v>
      </c>
      <c r="BZ20" s="10" cm="1">
        <f t="array" ref="BZ20">bdRateExtend(BV11:BV14,BZ11:BZ14,BV3:BV6,BZ3:BZ6)</f>
        <v>2.739173768274743</v>
      </c>
      <c r="CA20" s="10" cm="1">
        <f t="array" ref="CA20">bdRateExtend(BV11:BV14,CA11:CA14,BV3:BV6,CA3:CA6)</f>
        <v>1.6509094152209567</v>
      </c>
      <c r="CC20" s="10" cm="1">
        <f t="array" ref="CC20">bdRateExtend(CB11:CB14,CC11:CC14,CB3:CB6,CC3:CC6)</f>
        <v>-0.40712117219773569</v>
      </c>
      <c r="CD20" s="10" cm="1">
        <f t="array" ref="CD20">bdRateExtend(CB11:CB14,CD11:CD14,CB3:CB6,CD3:CD6)</f>
        <v>-0.30989842989955974</v>
      </c>
      <c r="CE20" s="10" cm="1">
        <f t="array" ref="CE20">bdRateExtend(CB11:CB14,CE11:CE14,CB3:CB6,CE3:CE6)</f>
        <v>0.41082485718040784</v>
      </c>
      <c r="CF20" s="10" cm="1">
        <f t="array" ref="CF20">bdRateExtend(CB11:CB14,CF11:CF14,CB3:CB6,CF3:CF6)</f>
        <v>0.46229006490321245</v>
      </c>
      <c r="CG20" s="10" cm="1">
        <f t="array" ref="CG20">bdRateExtend(CB11:CB14,CG11:CG14,CB3:CB6,CG3:CG6)</f>
        <v>0.38560385147836351</v>
      </c>
      <c r="CI20" s="10" cm="1">
        <f t="array" ref="CI20">bdRateExtend(CH11:CH14,CI11:CI14,CH3:CH6,CI3:CI6)</f>
        <v>2.7676758129101264</v>
      </c>
      <c r="CJ20" s="10" cm="1">
        <f t="array" ref="CJ20">bdRateExtend(CH11:CH14,CJ11:CJ14,CH3:CH6,CJ3:CJ6)</f>
        <v>4.7467742859025135</v>
      </c>
      <c r="CK20" s="10" cm="1">
        <f t="array" ref="CK20">bdRateExtend(CH11:CH14,CK11:CK14,CH3:CH6,CK3:CK6)</f>
        <v>5.8825510837770647</v>
      </c>
      <c r="CL20" s="10" cm="1">
        <f t="array" ref="CL20">bdRateExtend(CH11:CH14,CL11:CL14,CH3:CH6,CL3:CL6)</f>
        <v>6.7894656075458792</v>
      </c>
      <c r="CM20" s="10" cm="1">
        <f t="array" ref="CM20">bdRateExtend(CH11:CH14,CM11:CM14,CH3:CH6,CM3:CM6)</f>
        <v>5.4297010566403401</v>
      </c>
      <c r="CO20" s="10" cm="1">
        <f t="array" ref="CO20">bdRateExtend(CN11:CN14,CO11:CO14,CN3:CN6,CO3:CO6)</f>
        <v>-6.6560336538193154E-2</v>
      </c>
      <c r="CP20" s="10" cm="1">
        <f t="array" ref="CP20">bdRateExtend(CN11:CN14,CP11:CP14,CN3:CN6,CP3:CP6)</f>
        <v>-3.3946820384227694E-2</v>
      </c>
      <c r="CQ20" s="10" cm="1">
        <f t="array" ref="CQ20">bdRateExtend(CN11:CN14,CQ11:CQ14,CN3:CN6,CQ3:CQ6)</f>
        <v>1.9578529142557533</v>
      </c>
      <c r="CR20" s="10" cm="1">
        <f t="array" ref="CR20">bdRateExtend(CN11:CN14,CR11:CR14,CN3:CN6,CR3:CR6)</f>
        <v>2.0081639209103423</v>
      </c>
      <c r="CS20" s="10" cm="1">
        <f t="array" ref="CS20">bdRateExtend(CN11:CN14,CS11:CS14,CN3:CN6,CS3:CS6)</f>
        <v>0.96888402106117288</v>
      </c>
      <c r="CU20" s="10" cm="1">
        <f t="array" ref="CU20">bdRateExtend(CT11:CT14,CU11:CU14,CT3:CT6,CU3:CU6)</f>
        <v>0.37082429674496575</v>
      </c>
      <c r="CV20" s="10" cm="1">
        <f t="array" ref="CV20">bdRateExtend(CT11:CT14,CV11:CV14,CT3:CT6,CV3:CV6)</f>
        <v>0.35901501071186193</v>
      </c>
      <c r="CW20" s="10" cm="1">
        <f t="array" ref="CW20">bdRateExtend(CT11:CT14,CW11:CW14,CT3:CT6,CW3:CW6)</f>
        <v>3.2997367490906964</v>
      </c>
      <c r="CX20" s="10" cm="1">
        <f t="array" ref="CX20">bdRateExtend(CT11:CT14,CX11:CX14,CT3:CT6,CX3:CX6)</f>
        <v>4.2029084343020484</v>
      </c>
      <c r="CY20" s="10" cm="1">
        <f t="array" ref="CY20">bdRateExtend(CT11:CT14,CY11:CY14,CT3:CT6,CY3:CY6)</f>
        <v>4.041773489649116</v>
      </c>
      <c r="DA20" s="10" cm="1">
        <f t="array" ref="DA20">bdRateExtend(CZ11:CZ14,DA11:DA14,CZ3:CZ6,DA3:DA6)</f>
        <v>-6.6009141783238912E-2</v>
      </c>
      <c r="DB20" s="10" cm="1">
        <f t="array" ref="DB20">bdRateExtend(CZ11:CZ14,DB11:DB14,CZ3:CZ6,DB3:DB6)</f>
        <v>2.7933116626443821E-2</v>
      </c>
      <c r="DC20" s="10" cm="1">
        <f t="array" ref="DC20">bdRateExtend(CZ11:CZ14,DC11:DC14,CZ3:CZ6,DC3:DC6)</f>
        <v>3.4559970824013559</v>
      </c>
      <c r="DD20" s="10" cm="1">
        <f t="array" ref="DD20">bdRateExtend(CZ11:CZ14,DD11:DD14,CZ3:CZ6,DD3:DD6)</f>
        <v>3.0091683330519805</v>
      </c>
      <c r="DE20" s="10" cm="1">
        <f t="array" ref="DE20">bdRateExtend(CZ11:CZ14,DE11:DE14,CZ3:CZ6,DE3:DE6)</f>
        <v>1.703859311346418</v>
      </c>
      <c r="DG20" s="10" cm="1">
        <f t="array" ref="DG20">bdRateExtend(DF11:DF14,DG11:DG14,DF3:DF6,DG3:DG6)</f>
        <v>-1.267181186411781E-3</v>
      </c>
      <c r="DH20" s="10" cm="1">
        <f t="array" ref="DH20">bdRateExtend(DF11:DF14,DH11:DH14,DF3:DF6,DH3:DH6)</f>
        <v>-0.1580718322208482</v>
      </c>
      <c r="DI20" s="10" cm="1">
        <f t="array" ref="DI20">bdRateExtend(DF11:DF14,DI11:DI14,DF3:DF6,DI3:DI6)</f>
        <v>0.77974037319451117</v>
      </c>
      <c r="DJ20" s="10" cm="1">
        <f t="array" ref="DJ20">bdRateExtend(DF11:DF14,DJ11:DJ14,DF3:DF6,DJ3:DJ6)</f>
        <v>0.94192553449581928</v>
      </c>
      <c r="DK20" s="10" cm="1">
        <f t="array" ref="DK20">bdRateExtend(DF11:DF14,DK11:DK14,DF3:DF6,DK3:DK6)</f>
        <v>0.80385856562895319</v>
      </c>
      <c r="DM20" s="10" cm="1">
        <f t="array" ref="DM20">bdRateExtend(DL11:DL14,DM11:DM14,DL3:DL6,DM3:DM6)</f>
        <v>0.28930309863044523</v>
      </c>
      <c r="DN20" s="10" cm="1">
        <f t="array" ref="DN20">bdRateExtend(DL11:DL14,DN11:DN14,DL3:DL6,DN3:DN6)</f>
        <v>0.61165573031442122</v>
      </c>
      <c r="DO20" s="10" cm="1">
        <f t="array" ref="DO20">bdRateExtend(DL11:DL14,DO11:DO14,DL3:DL6,DO3:DO6)</f>
        <v>2.7887172907346147</v>
      </c>
      <c r="DP20" s="10" cm="1">
        <f t="array" ref="DP20">bdRateExtend(DL11:DL14,DP11:DP14,DL3:DL6,DP3:DP6)</f>
        <v>3.2211848198508291</v>
      </c>
      <c r="DQ20" s="10" cm="1">
        <f t="array" ref="DQ20">bdRateExtend(DL11:DL14,DQ11:DQ14,DL3:DL6,DQ3:DQ6)</f>
        <v>2.2666798308516483</v>
      </c>
      <c r="DR20" s="20"/>
      <c r="DS20" s="10" cm="1">
        <f t="array" ref="DS20">bdRateExtend(DR11:DR14,DS11:DS14,DR3:DR6,DS3:DS6)</f>
        <v>-0.27551469724665911</v>
      </c>
      <c r="DT20" s="10" cm="1">
        <f t="array" ref="DT20">bdRateExtend(DR11:DR14,DT11:DT14,DR3:DR6,DT3:DT6)</f>
        <v>-0.3167532474956064</v>
      </c>
      <c r="DU20" s="10" cm="1">
        <f t="array" ref="DU20">bdRateExtend(DR11:DR14,DU11:DU14,DR3:DR6,DU3:DU6)</f>
        <v>0.72413003437185219</v>
      </c>
      <c r="DV20" s="10" cm="1">
        <f t="array" ref="DV20">bdRateExtend(DR11:DR14,DV11:DV14,DR3:DR6,DV3:DV6)</f>
        <v>1.335337587860868</v>
      </c>
      <c r="DW20" s="10" cm="1">
        <f t="array" ref="DW20">bdRateExtend(DR11:DR14,DW11:DW14,DR3:DR6,DW3:DW6)</f>
        <v>0.55676182911714034</v>
      </c>
      <c r="DY20" s="10" cm="1">
        <f t="array" ref="DY20">bdRateExtend(DX11:DX14,DY11:DY14,DX3:DX6,DY3:DY6)</f>
        <v>0.1808956765280143</v>
      </c>
      <c r="DZ20" s="10" cm="1">
        <f t="array" ref="DZ20">bdRateExtend(DX11:DX14,DZ11:DZ14,DX3:DX6,DZ3:DZ6)</f>
        <v>-0.14696809116108667</v>
      </c>
      <c r="EA20" s="10" cm="1">
        <f t="array" ref="EA20">bdRateExtend(DX11:DX14,EA11:EA14,DX3:DX6,EA3:EA6)</f>
        <v>0.52178800149978333</v>
      </c>
      <c r="EB20" s="10" cm="1">
        <f t="array" ref="EB20">bdRateExtend(DX11:DX14,EB11:EB14,DX3:DX6,EB3:EB6)</f>
        <v>0.73243179026791383</v>
      </c>
      <c r="EC20" s="10" cm="1">
        <f t="array" ref="EC20">bdRateExtend(DX11:DX14,EC11:EC14,DX3:DX6,EC3:EC6)</f>
        <v>0.22724213904320534</v>
      </c>
      <c r="EE20" s="10" cm="1">
        <f t="array" ref="EE20">bdRateExtend(ED11:ED14,EE11:EE14,ED3:ED6,EE3:EE6)</f>
        <v>0.34509688771711233</v>
      </c>
      <c r="EF20" s="10" cm="1">
        <f t="array" ref="EF20">bdRateExtend(ED11:ED14,EF11:EF14,ED3:ED6,EF3:EF6)</f>
        <v>0.14267498888484376</v>
      </c>
      <c r="EG20" s="10" cm="1">
        <f t="array" ref="EG20">bdRateExtend(ED11:ED14,EG11:EG14,ED3:ED6,EG3:EG6)</f>
        <v>0.93536421567516026</v>
      </c>
      <c r="EH20" s="10" cm="1">
        <f t="array" ref="EH20">bdRateExtend(ED11:ED14,EH11:EH14,ED3:ED6,EH3:EH6)</f>
        <v>0.55124228314966373</v>
      </c>
      <c r="EI20" s="10" cm="1">
        <f t="array" ref="EI20">bdRateExtend(ED11:ED14,EI11:EI14,ED3:ED6,EI3:EI6)</f>
        <v>0.46094583514617349</v>
      </c>
      <c r="EK20" s="10" cm="1">
        <f t="array" ref="EK20">bdRateExtend(EJ11:EJ14,EK11:EK14,EJ3:EJ6,EK3:EK6)</f>
        <v>-0.48618991038760495</v>
      </c>
      <c r="EL20" s="10" cm="1">
        <f t="array" ref="EL20">bdRateExtend(EJ11:EJ14,EL11:EL14,EJ3:EJ6,EL3:EL6)</f>
        <v>-0.76731163038130479</v>
      </c>
      <c r="EM20" s="10" cm="1">
        <f t="array" ref="EM20">bdRateExtend(EJ11:EJ14,EM11:EM14,EJ3:EJ6,EM3:EM6)</f>
        <v>0.84659283610375957</v>
      </c>
      <c r="EN20" s="10" cm="1">
        <f t="array" ref="EN20">bdRateExtend(EJ11:EJ14,EN11:EN14,EJ3:EJ6,EN3:EN6)</f>
        <v>1.8386697281350757</v>
      </c>
      <c r="EO20" s="10" cm="1">
        <f t="array" ref="EO20">bdRateExtend(EJ11:EJ14,EO11:EO14,EJ3:EJ6,EO3:EO6)</f>
        <v>0.62258525081839644</v>
      </c>
      <c r="EQ20" s="10" cm="1">
        <f t="array" ref="EQ20">bdRateExtend(EP11:EP14,EQ11:EQ14,EP3:EP6,EQ3:EQ6)</f>
        <v>0.2445824495094826</v>
      </c>
      <c r="ER20" s="10" cm="1">
        <f t="array" ref="ER20">bdRateExtend(EP11:EP14,ER11:ER14,EP3:EP6,ER3:ER6)</f>
        <v>-3.5690254342284788E-2</v>
      </c>
      <c r="ES20" s="10" cm="1">
        <f t="array" ref="ES20">bdRateExtend(EP11:EP14,ES11:ES14,EP3:EP6,ES3:ES6)</f>
        <v>-4.4732170111150826E-2</v>
      </c>
      <c r="ET20" s="10" cm="1">
        <f t="array" ref="ET20">bdRateExtend(EP11:EP14,ET11:ET14,EP3:EP6,ET3:ET6)</f>
        <v>0.45659261008378182</v>
      </c>
      <c r="EU20" s="10" cm="1">
        <f t="array" ref="EU20">bdRateExtend(EP11:EP14,EU11:EU14,EP3:EP6,EU3:EU6)</f>
        <v>0.99115392717951956</v>
      </c>
    </row>
    <row r="21" spans="1:151">
      <c r="A21" s="44"/>
      <c r="B21" t="s">
        <v>44</v>
      </c>
      <c r="C21" s="1" cm="1">
        <f t="array" ref="C21">bdPSNRExtend(B11:B14,C11:C14,B3:B6,C3:C6)</f>
        <v>0.21825425134560617</v>
      </c>
      <c r="D21" s="1" cm="1">
        <f t="array" ref="D21">bdPSNRExtend(B11:B14,D11:D14,B3:B6,D3:D6)</f>
        <v>4.1116292078610076E-2</v>
      </c>
      <c r="E21" s="1" cm="1">
        <f t="array" ref="E21">bdPSNRExtend(B11:B14,E11:E14,B3:B6,E3:E6)</f>
        <v>-2.634637220204918</v>
      </c>
      <c r="F21" s="1" cm="1">
        <f t="array" ref="F21">bdPSNRExtend(B11:B14,F11:F14,B3:B6,F3:F6)</f>
        <v>-2.4555465889852424</v>
      </c>
      <c r="G21" s="1" cm="1">
        <f t="array" ref="G21">bdPSNRExtend(B11:B14,G11:G14,B3:B6,G3:G6)</f>
        <v>-2.2589117157704708E-3</v>
      </c>
      <c r="I21" s="1" cm="1">
        <f t="array" ref="I21">bdPSNRExtend(H11:H14,I11:I14,H3:H6,I3:I6)</f>
        <v>0.48281116783740441</v>
      </c>
      <c r="J21" s="1" cm="1">
        <f t="array" ref="J21">bdPSNRExtend(H11:H14,J11:J14,H3:H6,J3:J6)</f>
        <v>0.61416245871998576</v>
      </c>
      <c r="K21" s="1" cm="1">
        <f t="array" ref="K21">bdPSNRExtend(H11:H14,K11:K14,H3:H6,K3:K6)</f>
        <v>-4.9053519655708344</v>
      </c>
      <c r="L21" s="1" cm="1">
        <f t="array" ref="L21">bdPSNRExtend(H11:H14,L11:L14,H3:H6,L3:L6)</f>
        <v>-4.2335796999835038</v>
      </c>
      <c r="M21" s="1" cm="1">
        <f t="array" ref="M21">bdPSNRExtend(H11:H14,M11:M14,H3:H6,M3:M6)</f>
        <v>-2.565488046941739E-3</v>
      </c>
      <c r="O21" s="1" cm="1">
        <f t="array" ref="O21">bdPSNRExtend(N11:N14,O11:O14,N3:N6,O3:O6)</f>
        <v>1.6616530513333481E-2</v>
      </c>
      <c r="P21" s="1" cm="1">
        <f t="array" ref="P21">bdPSNRExtend(N11:N14,P11:P14,N3:N6,P3:P6)</f>
        <v>-0.22550170034775427</v>
      </c>
      <c r="Q21" s="1" cm="1">
        <f t="array" ref="Q21">bdPSNRExtend(N11:N14,Q11:Q14,N3:N6,Q3:Q6)</f>
        <v>-2.4687433945706769</v>
      </c>
      <c r="R21" s="1" cm="1">
        <f t="array" ref="R21">bdPSNRExtend(N11:N14,R11:R14,N3:N6,R3:R6)</f>
        <v>-1.8860811993637774</v>
      </c>
      <c r="S21" s="1" cm="1">
        <f t="array" ref="S21">bdPSNRExtend(N11:N14,S11:S14,N3:N6,S3:S6)</f>
        <v>-3.1748947093460495E-3</v>
      </c>
      <c r="U21" s="1" cm="1">
        <f t="array" ref="U21">bdPSNRExtend(T11:T14,U11:U14,T3:T6,U3:U6)</f>
        <v>2.4060196157387175</v>
      </c>
      <c r="V21" s="1" cm="1">
        <f t="array" ref="V21">bdPSNRExtend(T11:T14,V11:V14,T3:T6,V3:V6)</f>
        <v>2.1455204191392432</v>
      </c>
      <c r="W21" s="1" cm="1">
        <f t="array" ref="W21">bdPSNRExtend(T11:T14,W11:W14,T3:T6,W3:W6)</f>
        <v>-0.51898274460025606</v>
      </c>
      <c r="X21" s="1" cm="1">
        <f t="array" ref="X21">bdPSNRExtend(T11:T14,X11:X14,T3:T6,X3:X6)</f>
        <v>-0.64862018731815274</v>
      </c>
      <c r="Y21" s="1" cm="1">
        <f t="array" ref="Y21">bdPSNRExtend(T11:T14,Y11:Y14,T3:T6,Y3:Y6)</f>
        <v>-1.1442650467328784E-3</v>
      </c>
      <c r="AA21" s="1" cm="1">
        <f t="array" ref="AA21">bdPSNRExtend(Z11:Z14,AA11:AA14,Z3:Z6,AA3:AA6)</f>
        <v>2.011365693607678</v>
      </c>
      <c r="AB21" s="1" cm="1">
        <f t="array" ref="AB21">bdPSNRExtend(Z11:Z14,AB11:AB14,Z3:Z6,AB3:AB6)</f>
        <v>1.5949315151242622</v>
      </c>
      <c r="AC21" s="1" cm="1">
        <f t="array" ref="AC21">bdPSNRExtend(Z11:Z14,AC11:AC14,Z3:Z6,AC3:AC6)</f>
        <v>-1.7559083588394944</v>
      </c>
      <c r="AD21" s="1" cm="1">
        <f t="array" ref="AD21">bdPSNRExtend(Z11:Z14,AD11:AD14,Z3:Z6,AD3:AD6)</f>
        <v>-1.6580255229721679</v>
      </c>
      <c r="AE21" s="1" cm="1">
        <f t="array" ref="AE21">bdPSNRExtend(Z11:Z14,AE11:AE14,Z3:Z6,AE3:AE6)</f>
        <v>-3.705518595514191E-3</v>
      </c>
      <c r="AG21" s="1" cm="1">
        <f t="array" ref="AG21">bdPSNRExtend(AF11:AF14,AG11:AG14,AF3:AF6,AG3:AG6)</f>
        <v>-0.12053131853368346</v>
      </c>
      <c r="AH21" s="1" cm="1">
        <f t="array" ref="AH21">bdPSNRExtend(AF11:AF14,AH11:AH14,AF3:AF6,AH3:AH6)</f>
        <v>1.0866767189438602</v>
      </c>
      <c r="AI21" s="1" cm="1">
        <f t="array" ref="AI21">bdPSNRExtend(AF11:AF14,AI11:AI14,AF3:AF6,AI3:AI6)</f>
        <v>-2.1333623801553299</v>
      </c>
      <c r="AJ21" s="1" cm="1">
        <f t="array" ref="AJ21">bdPSNRExtend(AF11:AF14,AJ11:AJ14,AF3:AF6,AJ3:AJ6)</f>
        <v>-2.4845978503374182</v>
      </c>
      <c r="AK21" s="1" cm="1">
        <f t="array" ref="AK21">bdPSNRExtend(AF11:AF14,AK11:AK14,AF3:AF6,AK3:AK6)</f>
        <v>-5.5450028230547479E-3</v>
      </c>
      <c r="AM21" s="1" cm="1">
        <f t="array" ref="AM21">bdPSNRExtend(AL11:AL14,AM11:AM14,AL3:AL6,AM3:AM6)</f>
        <v>-1.7553569772658295</v>
      </c>
      <c r="AN21" s="1" cm="1">
        <f t="array" ref="AN21">bdPSNRExtend(AL11:AL14,AN11:AN14,AL3:AL6,AN3:AN6)</f>
        <v>-2.1735766406562371</v>
      </c>
      <c r="AO21" s="1" cm="1">
        <f t="array" ref="AO21">bdPSNRExtend(AL11:AL14,AO11:AO14,AL3:AL6,AO3:AO6)</f>
        <v>-3.5866193876859991</v>
      </c>
      <c r="AP21" s="1" cm="1">
        <f t="array" ref="AP21">bdPSNRExtend(AL11:AL14,AP11:AP14,AL3:AL6,AP3:AP6)</f>
        <v>-3.1330828248572149</v>
      </c>
      <c r="AQ21" s="1" cm="1">
        <f t="array" ref="AQ21">bdPSNRExtend(AL11:AL14,AQ11:AQ14,AL3:AL6,AQ3:AQ6)</f>
        <v>-5.321115524009476E-3</v>
      </c>
      <c r="AS21" s="1" cm="1">
        <f t="array" ref="AS21">bdPSNRExtend(AR11:AR14,AS11:AS14,AR3:AR6,AS3:AS6)</f>
        <v>-0.2335326021156244</v>
      </c>
      <c r="AT21" s="1" cm="1">
        <f t="array" ref="AT21">bdPSNRExtend(AR11:AR14,AT11:AT14,AR3:AR6,AT3:AT6)</f>
        <v>-0.6256977019397626</v>
      </c>
      <c r="AU21" s="1" cm="1">
        <f t="array" ref="AU21">bdPSNRExtend(AR11:AR14,AU11:AU14,AR3:AR6,AU3:AU6)</f>
        <v>-2.013377792059341</v>
      </c>
      <c r="AV21" s="1" cm="1">
        <f t="array" ref="AV21">bdPSNRExtend(AR11:AR14,AV11:AV14,AR3:AR6,AV3:AV6)</f>
        <v>-2.5859213028963319</v>
      </c>
      <c r="AW21" s="1" cm="1">
        <f t="array" ref="AW21">bdPSNRExtend(AR11:AR14,AW11:AW14,AR3:AR6,AW3:AW6)</f>
        <v>-3.1866809535639955E-3</v>
      </c>
      <c r="AY21" s="1" cm="1">
        <f t="array" ref="AY21">bdPSNRExtend(AX11:AX14,AY11:AY14,AX3:AX6,AY3:AY6)</f>
        <v>-1.4714438090805286</v>
      </c>
      <c r="AZ21" s="1" cm="1">
        <f t="array" ref="AZ21">bdPSNRExtend(AX11:AX14,AZ11:AZ14,AX3:AX6,AZ3:AZ6)</f>
        <v>-1.8355732785910934</v>
      </c>
      <c r="BA21" s="1" cm="1">
        <f t="array" ref="BA21">bdPSNRExtend(AX11:AX14,BA11:BA14,AX3:AX6,BA3:BA6)</f>
        <v>-5.3966808453033561</v>
      </c>
      <c r="BB21" s="1" cm="1">
        <f t="array" ref="BB21">bdPSNRExtend(AX11:AX14,BB11:BB14,AX3:AX6,BB3:BB6)</f>
        <v>-5.0265105338427851</v>
      </c>
      <c r="BC21" s="1" cm="1">
        <f t="array" ref="BC21">bdPSNRExtend(AX11:AX14,BC11:BC14,AX3:AX6,BC3:BC6)</f>
        <v>-6.252644010537288E-3</v>
      </c>
      <c r="BE21" s="1" cm="1">
        <f t="array" ref="BE21">bdPSNRExtend(BD11:BD14,BE11:BE14,BD3:BD6,BE3:BE6)</f>
        <v>2.7806457613787896</v>
      </c>
      <c r="BF21" s="1" cm="1">
        <f t="array" ref="BF21">bdPSNRExtend(BD11:BD14,BF11:BF14,BD3:BD6,BF3:BF6)</f>
        <v>2.4224666378785678</v>
      </c>
      <c r="BG21" s="1" cm="1">
        <f t="array" ref="BG21">bdPSNRExtend(BD11:BD14,BG11:BG14,BD3:BD6,BG3:BG6)</f>
        <v>-0.3703449694817208</v>
      </c>
      <c r="BH21" s="1" cm="1">
        <f t="array" ref="BH21">bdPSNRExtend(BD11:BD14,BH11:BH14,BD3:BD6,BH3:BH6)</f>
        <v>-0.62972493080152081</v>
      </c>
      <c r="BI21" s="1" cm="1">
        <f t="array" ref="BI21">bdPSNRExtend(BD11:BD14,BI11:BI14,BD3:BD6,BI3:BI6)</f>
        <v>-1.158889672210465E-3</v>
      </c>
      <c r="BK21" s="1" cm="1">
        <f t="array" ref="BK21">bdPSNRExtend(BJ11:BJ14,BK11:BK14,BJ3:BJ6,BK3:BK6)</f>
        <v>-2.5067764877923642</v>
      </c>
      <c r="BL21" s="1" cm="1">
        <f t="array" ref="BL21">bdPSNRExtend(BJ11:BJ14,BL11:BL14,BJ3:BJ6,BL3:BL6)</f>
        <v>-3.3873529527705499</v>
      </c>
      <c r="BM21" s="1" cm="1">
        <f t="array" ref="BM21">bdPSNRExtend(BJ11:BJ14,BM11:BM14,BJ3:BJ6,BM3:BM6)</f>
        <v>-3.9601153349103315</v>
      </c>
      <c r="BN21" s="1" cm="1">
        <f t="array" ref="BN21">bdPSNRExtend(BJ11:BJ14,BN11:BN14,BJ3:BJ6,BN3:BN6)</f>
        <v>-3.5582438179653697</v>
      </c>
      <c r="BO21" s="1" cm="1">
        <f t="array" ref="BO21">bdPSNRExtend(BJ11:BJ14,BO11:BO14,BJ3:BJ6,BO3:BO6)</f>
        <v>-4.985664454964768E-3</v>
      </c>
      <c r="BQ21" s="1" cm="1">
        <f t="array" ref="BQ21">bdPSNRExtend(BP11:BP14,BQ11:BQ14,BP3:BP6,BQ3:BQ6)</f>
        <v>-1.2792526181570589</v>
      </c>
      <c r="BR21" s="1" cm="1">
        <f t="array" ref="BR21">bdPSNRExtend(BP11:BP14,BR11:BR14,BP3:BP6,BR3:BR6)</f>
        <v>-0.70308271629451602</v>
      </c>
      <c r="BS21" s="1" cm="1">
        <f t="array" ref="BS21">bdPSNRExtend(BP11:BP14,BS11:BS14,BP3:BP6,BS3:BS6)</f>
        <v>-2.2525437124856516</v>
      </c>
      <c r="BT21" s="1" cm="1">
        <f t="array" ref="BT21">bdPSNRExtend(BP11:BP14,BT11:BT14,BP3:BP6,BT3:BT6)</f>
        <v>-2.5311485603642674</v>
      </c>
      <c r="BU21" s="1" cm="1">
        <f t="array" ref="BU21">bdPSNRExtend(BP11:BP14,BU11:BU14,BP3:BP6,BU3:BU6)</f>
        <v>-4.1900891502050022E-3</v>
      </c>
      <c r="BW21" s="1" cm="1">
        <f t="array" ref="BW21">bdPSNRExtend(BV11:BV14,BW11:BW14,BV3:BV6,BW3:BW6)</f>
        <v>3.1156252711621737</v>
      </c>
      <c r="BX21" s="1" cm="1">
        <f t="array" ref="BX21">bdPSNRExtend(BV11:BV14,BX11:BX14,BV3:BV6,BX3:BX6)</f>
        <v>2.6803315668888432</v>
      </c>
      <c r="BY21" s="1" cm="1">
        <f t="array" ref="BY21">bdPSNRExtend(BV11:BV14,BY11:BY14,BV3:BV6,BY3:BY6)</f>
        <v>-4.3654226122705824</v>
      </c>
      <c r="BZ21" s="1" cm="1">
        <f t="array" ref="BZ21">bdPSNRExtend(BV11:BV14,BZ11:BZ14,BV3:BV6,BZ3:BZ6)</f>
        <v>-3.942651788237006</v>
      </c>
      <c r="CA21" s="1" cm="1">
        <f t="array" ref="CA21">bdPSNRExtend(BV11:BV14,CA11:CA14,BV3:BV6,CA3:CA6)</f>
        <v>-3.2159473166357361E-3</v>
      </c>
      <c r="CC21" s="1" cm="1">
        <f t="array" ref="CC21">bdPSNRExtend(CB11:CB14,CC11:CC14,CB3:CB6,CC3:CC6)</f>
        <v>3.9825102357990843</v>
      </c>
      <c r="CD21" s="1" cm="1">
        <f t="array" ref="CD21">bdPSNRExtend(CB11:CB14,CD11:CD14,CB3:CB6,CD3:CD6)</f>
        <v>3.8410884789517947</v>
      </c>
      <c r="CE21" s="1" cm="1">
        <f t="array" ref="CE21">bdPSNRExtend(CB11:CB14,CE11:CE14,CB3:CB6,CE3:CE6)</f>
        <v>-0.75775018749942369</v>
      </c>
      <c r="CF21" s="1" cm="1">
        <f t="array" ref="CF21">bdPSNRExtend(CB11:CB14,CF11:CF14,CB3:CB6,CF3:CF6)</f>
        <v>-0.77572718400332186</v>
      </c>
      <c r="CG21" s="1" cm="1">
        <f t="array" ref="CG21">bdPSNRExtend(CB11:CB14,CG11:CG14,CB3:CB6,CG3:CG6)</f>
        <v>-2.0270052886260095E-3</v>
      </c>
      <c r="CI21" s="1" cm="1">
        <f t="array" ref="CI21">bdPSNRExtend(CH11:CH14,CI11:CI14,CH3:CH6,CI3:CI6)</f>
        <v>-4.2507134498161747</v>
      </c>
      <c r="CJ21" s="1" cm="1">
        <f t="array" ref="CJ21">bdPSNRExtend(CH11:CH14,CJ11:CJ14,CH3:CH6,CJ3:CJ6)</f>
        <v>-7.9148039364367655</v>
      </c>
      <c r="CK21" s="1" cm="1">
        <f t="array" ref="CK21">bdPSNRExtend(CH11:CH14,CK11:CK14,CH3:CH6,CK3:CK6)</f>
        <v>-6.0409638826579162</v>
      </c>
      <c r="CL21" s="1" cm="1">
        <f t="array" ref="CL21">bdPSNRExtend(CH11:CH14,CL11:CL14,CH3:CH6,CL3:CL6)</f>
        <v>-5.3654520807259365</v>
      </c>
      <c r="CM21" s="1" cm="1">
        <f t="array" ref="CM21">bdPSNRExtend(CH11:CH14,CM11:CM14,CH3:CH6,CM3:CM6)</f>
        <v>-6.0207403158251656E-3</v>
      </c>
      <c r="CO21" s="1" cm="1">
        <f t="array" ref="CO21">bdPSNRExtend(CN11:CN14,CO11:CO14,CN3:CN6,CO3:CO6)</f>
        <v>0.41119680750638848</v>
      </c>
      <c r="CP21" s="1" cm="1">
        <f t="array" ref="CP21">bdPSNRExtend(CN11:CN14,CP11:CP14,CN3:CN6,CP3:CP6)</f>
        <v>0.35703571143920249</v>
      </c>
      <c r="CQ21" s="1" cm="1">
        <f t="array" ref="CQ21">bdPSNRExtend(CN11:CN14,CQ11:CQ14,CN3:CN6,CQ3:CQ6)</f>
        <v>-4.3092067362774511</v>
      </c>
      <c r="CR21" s="1" cm="1">
        <f t="array" ref="CR21">bdPSNRExtend(CN11:CN14,CR11:CR14,CN3:CN6,CR3:CR6)</f>
        <v>-3.6618162161741852</v>
      </c>
      <c r="CS21" s="1" cm="1">
        <f t="array" ref="CS21">bdPSNRExtend(CN11:CN14,CS11:CS14,CN3:CN6,CS3:CS6)</f>
        <v>-2.4132010620225774E-3</v>
      </c>
      <c r="CU21" s="1" cm="1">
        <f t="array" ref="CU21">bdPSNRExtend(CT11:CT14,CU11:CU14,CT3:CT6,CU3:CU6)</f>
        <v>0.64378810060726721</v>
      </c>
      <c r="CV21" s="1" cm="1">
        <f t="array" ref="CV21">bdPSNRExtend(CT11:CT14,CV11:CV14,CT3:CT6,CV3:CV6)</f>
        <v>0.34385375530484097</v>
      </c>
      <c r="CW21" s="1" cm="1">
        <f t="array" ref="CW21">bdPSNRExtend(CT11:CT14,CW11:CW14,CT3:CT6,CW3:CW6)</f>
        <v>-3.5961929630725136</v>
      </c>
      <c r="CX21" s="1" cm="1">
        <f t="array" ref="CX21">bdPSNRExtend(CT11:CT14,CX11:CX14,CT3:CT6,CX3:CX6)</f>
        <v>-3.8286496498942721</v>
      </c>
      <c r="CY21" s="1" cm="1">
        <f t="array" ref="CY21">bdPSNRExtend(CT11:CT14,CY11:CY14,CT3:CT6,CY3:CY6)</f>
        <v>-6.5488961620110246E-3</v>
      </c>
      <c r="DA21" s="1" cm="1">
        <f t="array" ref="DA21">bdPSNRExtend(CZ11:CZ14,DA11:DA14,CZ3:CZ6,DA3:DA6)</f>
        <v>2.5849663679966022</v>
      </c>
      <c r="DB21" s="1" cm="1">
        <f t="array" ref="DB21">bdPSNRExtend(CZ11:CZ14,DB11:DB14,CZ3:CZ6,DB3:DB6)</f>
        <v>1.9454744106897832</v>
      </c>
      <c r="DC21" s="1" cm="1">
        <f t="array" ref="DC21">bdPSNRExtend(CZ11:CZ14,DC11:DC14,CZ3:CZ6,DC3:DC6)</f>
        <v>-3.5411197448251901</v>
      </c>
      <c r="DD21" s="1" cm="1">
        <f t="array" ref="DD21">bdPSNRExtend(CZ11:CZ14,DD11:DD14,CZ3:CZ6,DD3:DD6)</f>
        <v>-3.1722048213270493</v>
      </c>
      <c r="DE21" s="1" cm="1">
        <f t="array" ref="DE21">bdPSNRExtend(CZ11:CZ14,DE11:DE14,CZ3:CZ6,DE3:DE6)</f>
        <v>-3.1048233615708709E-3</v>
      </c>
      <c r="DG21" s="1" cm="1">
        <f t="array" ref="DG21">bdPSNRExtend(DF11:DF14,DG11:DG14,DF3:DF6,DG3:DG6)</f>
        <v>0.59571929872470564</v>
      </c>
      <c r="DH21" s="1" cm="1">
        <f t="array" ref="DH21">bdPSNRExtend(DF11:DF14,DH11:DH14,DF3:DF6,DH3:DH6)</f>
        <v>1.9503330324161183</v>
      </c>
      <c r="DI21" s="1" cm="1">
        <f t="array" ref="DI21">bdPSNRExtend(DF11:DF14,DI11:DI14,DF3:DF6,DI3:DI6)</f>
        <v>-1.8460965062993888</v>
      </c>
      <c r="DJ21" s="1" cm="1">
        <f t="array" ref="DJ21">bdPSNRExtend(DF11:DF14,DJ11:DJ14,DF3:DF6,DJ3:DJ6)</f>
        <v>-1.7710210235137844</v>
      </c>
      <c r="DK21" s="1" cm="1">
        <f t="array" ref="DK21">bdPSNRExtend(DF11:DF14,DK11:DK14,DF3:DF6,DK3:DK6)</f>
        <v>-2.2785586836029221E-3</v>
      </c>
      <c r="DM21" s="1" cm="1">
        <f t="array" ref="DM21">bdPSNRExtend(DL11:DL14,DM11:DM14,DL3:DL6,DM3:DM6)</f>
        <v>1.7897271803658141</v>
      </c>
      <c r="DN21" s="1" cm="1">
        <f t="array" ref="DN21">bdPSNRExtend(DL11:DL14,DN11:DN14,DL3:DL6,DN3:DN6)</f>
        <v>1.2003850431436789</v>
      </c>
      <c r="DO21" s="1" cm="1">
        <f t="array" ref="DO21">bdPSNRExtend(DL11:DL14,DO11:DO14,DL3:DL6,DO3:DO6)</f>
        <v>-3.7550510981684413</v>
      </c>
      <c r="DP21" s="1" cm="1">
        <f t="array" ref="DP21">bdPSNRExtend(DL11:DL14,DP11:DP14,DL3:DL6,DP3:DP6)</f>
        <v>-3.7146221878489518</v>
      </c>
      <c r="DQ21" s="1" cm="1">
        <f t="array" ref="DQ21">bdPSNRExtend(DL11:DL14,DQ11:DQ14,DL3:DL6,DQ3:DQ6)</f>
        <v>-4.6257685112349482E-3</v>
      </c>
      <c r="DR21" s="20"/>
      <c r="DS21" s="1" cm="1">
        <f t="array" ref="DS21">bdPSNRExtend(DR11:DR14,DS11:DS14,DR3:DR6,DS3:DS6)</f>
        <v>1.0599575723706618</v>
      </c>
      <c r="DT21" s="1" cm="1">
        <f t="array" ref="DT21">bdPSNRExtend(DR11:DR14,DT11:DT14,DR3:DR6,DT3:DT6)</f>
        <v>1.7926868307229007</v>
      </c>
      <c r="DU21" s="1" cm="1">
        <f t="array" ref="DU21">bdPSNRExtend(DR11:DR14,DU11:DU14,DR3:DR6,DU3:DU6)</f>
        <v>-1.0694204753172831</v>
      </c>
      <c r="DV21" s="1" cm="1">
        <f t="array" ref="DV21">bdPSNRExtend(DR11:DR14,DV11:DV14,DR3:DR6,DV3:DV6)</f>
        <v>-1.3823366154631962</v>
      </c>
      <c r="DW21" s="1" cm="1">
        <f t="array" ref="DW21">bdPSNRExtend(DR11:DR14,DW11:DW14,DR3:DR6,DW3:DW6)</f>
        <v>-2.4198170052543624E-3</v>
      </c>
      <c r="DY21" s="1" cm="1">
        <f t="array" ref="DY21">bdPSNRExtend(DX11:DX14,DY11:DY14,DX3:DX6,DY3:DY6)</f>
        <v>-0.8110913155863041</v>
      </c>
      <c r="DZ21" s="1" cm="1">
        <f t="array" ref="DZ21">bdPSNRExtend(DX11:DX14,DZ11:DZ14,DX3:DX6,DZ3:DZ6)</f>
        <v>0.56863482333369952</v>
      </c>
      <c r="EA21" s="1" cm="1">
        <f t="array" ref="EA21">bdPSNRExtend(DX11:DX14,EA11:EA14,DX3:DX6,EA3:EA6)</f>
        <v>-1.4976955428838179</v>
      </c>
      <c r="EB21" s="1" cm="1">
        <f t="array" ref="EB21">bdPSNRExtend(DX11:DX14,EB11:EB14,DX3:DX6,EB3:EB6)</f>
        <v>-1.6563442109344479</v>
      </c>
      <c r="EC21" s="1" cm="1">
        <f t="array" ref="EC21">bdPSNRExtend(DX11:DX14,EC11:EC14,DX3:DX6,EC3:EC6)</f>
        <v>-3.4562214261685581E-3</v>
      </c>
      <c r="EE21" s="1" cm="1">
        <f t="array" ref="EE21">bdPSNRExtend(ED11:ED14,EE11:EE14,ED3:ED6,EE3:EE6)</f>
        <v>-1.2441098309916814</v>
      </c>
      <c r="EF21" s="1" cm="1">
        <f t="array" ref="EF21">bdPSNRExtend(ED11:ED14,EF11:EF14,ED3:ED6,EF3:EF6)</f>
        <v>-0.92689116152410611</v>
      </c>
      <c r="EG21" s="1" cm="1">
        <f t="array" ref="EG21">bdPSNRExtend(ED11:ED14,EG11:EG14,ED3:ED6,EG3:EG6)</f>
        <v>-2.3555218171313226</v>
      </c>
      <c r="EH21" s="1" cm="1">
        <f t="array" ref="EH21">bdPSNRExtend(ED11:ED14,EH11:EH14,ED3:ED6,EH3:EH6)</f>
        <v>-2.2386907936222218</v>
      </c>
      <c r="EI21" s="1" cm="1">
        <f t="array" ref="EI21">bdPSNRExtend(ED11:ED14,EI11:EI14,ED3:ED6,EI3:EI6)</f>
        <v>-3.8650574530565847E-3</v>
      </c>
      <c r="EK21" s="1" cm="1">
        <f t="array" ref="EK21">bdPSNRExtend(EJ11:EJ14,EK11:EK14,EJ3:EJ6,EK3:EK6)</f>
        <v>1.0040215105559709</v>
      </c>
      <c r="EL21" s="1" cm="1">
        <f t="array" ref="EL21">bdPSNRExtend(EJ11:EJ14,EL11:EL14,EJ3:EJ6,EL3:EL6)</f>
        <v>3.2549612696970751</v>
      </c>
      <c r="EM21" s="1" cm="1">
        <f t="array" ref="EM21">bdPSNRExtend(EJ11:EJ14,EM11:EM14,EJ3:EJ6,EM3:EM6)</f>
        <v>-0.5742102714809536</v>
      </c>
      <c r="EN21" s="1" cm="1">
        <f t="array" ref="EN21">bdPSNRExtend(EJ11:EJ14,EN11:EN14,EJ3:EJ6,EN3:EN6)</f>
        <v>-0.8455614337490599</v>
      </c>
      <c r="EO21" s="1" cm="1">
        <f t="array" ref="EO21">bdPSNRExtend(EJ11:EJ14,EO11:EO14,EJ3:EJ6,EO3:EO6)</f>
        <v>-1.4920779038593303E-3</v>
      </c>
      <c r="EQ21" s="1" cm="1">
        <f t="array" ref="EQ21">bdPSNRExtend(EP11:EP14,EQ11:EQ14,EP3:EP6,EQ3:EQ6)</f>
        <v>0.19531654404741594</v>
      </c>
      <c r="ER21" s="1" cm="1">
        <f t="array" ref="ER21">bdPSNRExtend(EP11:EP14,ER11:ER14,EP3:EP6,ER3:ER6)</f>
        <v>1.5859672270648937</v>
      </c>
      <c r="ES21" s="1" cm="1">
        <f t="array" ref="ES21">bdPSNRExtend(EP11:EP14,ES11:ES14,EP3:EP6,ES3:ES6)</f>
        <v>0.54582239125875487</v>
      </c>
      <c r="ET21" s="1" cm="1">
        <f t="array" ref="ET21">bdPSNRExtend(EP11:EP14,ET11:ET14,EP3:EP6,ET3:ET6)</f>
        <v>-0.41979611243289283</v>
      </c>
      <c r="EU21" s="1" cm="1">
        <f t="array" ref="EU21">bdPSNRExtend(EP11:EP14,EU11:EU14,EP3:EP6,EU3:EU6)</f>
        <v>-3.6090596908699684E-3</v>
      </c>
    </row>
    <row r="22" spans="1:151">
      <c r="A22" s="11"/>
      <c r="C22" s="1"/>
      <c r="D22" s="1"/>
      <c r="E22" s="1"/>
      <c r="F22" s="1"/>
      <c r="G22" s="1"/>
      <c r="I22" s="1"/>
      <c r="J22" s="1"/>
      <c r="K22" s="1"/>
      <c r="L22" s="1"/>
      <c r="M22" s="1"/>
      <c r="O22" s="1"/>
      <c r="P22" s="1"/>
      <c r="Q22" s="1"/>
      <c r="R22" s="1"/>
      <c r="S22" s="1"/>
      <c r="U22" s="1"/>
      <c r="V22" s="1"/>
      <c r="W22" s="1"/>
      <c r="X22" s="1"/>
      <c r="Y22" s="1"/>
      <c r="AA22" s="1"/>
      <c r="AB22" s="1"/>
      <c r="AC22" s="1"/>
      <c r="AD22" s="1"/>
      <c r="AE22" s="1"/>
      <c r="AG22" s="1"/>
      <c r="AH22" s="1"/>
      <c r="AI22" s="1"/>
      <c r="AJ22" s="1"/>
      <c r="AK22" s="1"/>
      <c r="AM22" s="1"/>
      <c r="AN22" s="1"/>
      <c r="AO22" s="1"/>
      <c r="AP22" s="1"/>
      <c r="AQ22" s="1"/>
      <c r="AS22" s="1"/>
      <c r="AT22" s="1"/>
      <c r="AU22" s="1"/>
      <c r="AV22" s="1"/>
      <c r="AW22" s="1"/>
      <c r="AY22" s="1"/>
      <c r="AZ22" s="1"/>
      <c r="BA22" s="1"/>
      <c r="BB22" s="1"/>
      <c r="BC22" s="1"/>
      <c r="BE22" s="1"/>
      <c r="BF22" s="1"/>
      <c r="BG22" s="1"/>
      <c r="BH22" s="1"/>
      <c r="BI22" s="1"/>
      <c r="BK22" s="1"/>
      <c r="BL22" s="1"/>
      <c r="BM22" s="1"/>
      <c r="BN22" s="1"/>
      <c r="BO22" s="1"/>
      <c r="BQ22" s="1"/>
      <c r="BR22" s="1"/>
      <c r="BS22" s="1"/>
      <c r="BT22" s="1"/>
      <c r="BU22" s="1"/>
      <c r="BW22" s="1"/>
      <c r="BX22" s="1"/>
      <c r="BY22" s="1"/>
      <c r="BZ22" s="1"/>
      <c r="CA22" s="1"/>
      <c r="CC22" s="1"/>
      <c r="CD22" s="1"/>
      <c r="CE22" s="1"/>
      <c r="CF22" s="1"/>
      <c r="CG22" s="1"/>
      <c r="CI22" s="1"/>
      <c r="CJ22" s="1"/>
      <c r="CK22" s="1"/>
      <c r="CL22" s="1"/>
      <c r="CM22" s="1"/>
      <c r="CO22" s="1"/>
      <c r="CP22" s="1"/>
      <c r="CQ22" s="1"/>
      <c r="CR22" s="1"/>
      <c r="CS22" s="1"/>
      <c r="CU22" s="1"/>
      <c r="CV22" s="1"/>
      <c r="CW22" s="1"/>
      <c r="CX22" s="1"/>
      <c r="CY22" s="1"/>
      <c r="DA22" s="1"/>
      <c r="DB22" s="1"/>
      <c r="DC22" s="1"/>
      <c r="DD22" s="1"/>
      <c r="DE22" s="1"/>
      <c r="DG22" s="1"/>
      <c r="DH22" s="1"/>
      <c r="DI22" s="1"/>
      <c r="DJ22" s="1"/>
      <c r="DK22" s="1"/>
      <c r="DM22" s="1"/>
      <c r="DN22" s="1"/>
      <c r="DO22" s="1"/>
      <c r="DP22" s="1"/>
      <c r="DQ22" s="1"/>
      <c r="DR22" s="1"/>
    </row>
    <row r="30" spans="1:151">
      <c r="A30" t="s">
        <v>77</v>
      </c>
      <c r="B30" s="48" t="s">
        <v>56</v>
      </c>
      <c r="C30" s="49"/>
      <c r="D30" s="49"/>
      <c r="E30" s="49"/>
      <c r="F30" s="49"/>
      <c r="G30" s="50"/>
    </row>
    <row r="31" spans="1:151">
      <c r="B31" t="str" cm="1">
        <f t="array" aca="1" ref="B31:G43" ca="1">INDIRECT(B30)</f>
        <v>bpp</v>
      </c>
      <c r="C31" t="str">
        <f ca="1"/>
        <v>PSNR-D1</v>
      </c>
      <c r="D31" t="str">
        <f ca="1"/>
        <v>PSNR-D2</v>
      </c>
      <c r="E31" t="str">
        <f ca="1"/>
        <v>PSNR-Y</v>
      </c>
      <c r="F31" t="str">
        <f ca="1"/>
        <v>PSNR-YUV</v>
      </c>
      <c r="G31" t="str">
        <f ca="1"/>
        <v>PCQM</v>
      </c>
    </row>
    <row r="32" spans="1:151">
      <c r="A32" s="45" t="s">
        <v>89</v>
      </c>
      <c r="B32" s="8">
        <f ca="1"/>
        <v>1.94099</v>
      </c>
      <c r="C32" s="2">
        <f ca="1"/>
        <v>74.031499999999994</v>
      </c>
      <c r="D32" s="2">
        <f ca="1"/>
        <v>78.2303</v>
      </c>
      <c r="E32" s="2">
        <f ca="1"/>
        <v>35.075200000000002</v>
      </c>
      <c r="F32" s="2">
        <f ca="1"/>
        <v>37.367150000000002</v>
      </c>
      <c r="G32" s="3">
        <f ca="1"/>
        <v>0.99594004999999997</v>
      </c>
    </row>
    <row r="33" spans="1:7">
      <c r="A33" s="46"/>
      <c r="B33" s="7">
        <f ca="1"/>
        <v>1.0716600000000001</v>
      </c>
      <c r="C33">
        <f ca="1"/>
        <v>73.012299999999996</v>
      </c>
      <c r="D33">
        <f ca="1"/>
        <v>77.024100000000004</v>
      </c>
      <c r="E33">
        <f ca="1"/>
        <v>34.595999999999997</v>
      </c>
      <c r="F33">
        <f ca="1"/>
        <v>36.969224999999994</v>
      </c>
      <c r="G33" s="4">
        <f ca="1"/>
        <v>0.99487641000000004</v>
      </c>
    </row>
    <row r="34" spans="1:7">
      <c r="A34" s="46"/>
      <c r="B34" s="7">
        <f ca="1"/>
        <v>0.31343799999999999</v>
      </c>
      <c r="C34">
        <f ca="1"/>
        <v>67.867199999999997</v>
      </c>
      <c r="D34">
        <f ca="1"/>
        <v>70.966999999999999</v>
      </c>
      <c r="E34">
        <f ca="1"/>
        <v>30.595099999999999</v>
      </c>
      <c r="F34">
        <f ca="1"/>
        <v>33.294262499999995</v>
      </c>
      <c r="G34" s="4">
        <f ca="1"/>
        <v>0.98961900000000003</v>
      </c>
    </row>
    <row r="35" spans="1:7">
      <c r="A35" s="47"/>
      <c r="B35" s="9">
        <f ca="1"/>
        <v>9.6049399999999993E-2</v>
      </c>
      <c r="C35" s="5">
        <f ca="1"/>
        <v>63.223100000000002</v>
      </c>
      <c r="D35" s="5">
        <f ca="1"/>
        <v>65.497900000000001</v>
      </c>
      <c r="E35" s="5">
        <f ca="1"/>
        <v>27.962399999999999</v>
      </c>
      <c r="F35" s="5">
        <f ca="1"/>
        <v>30.647950000000002</v>
      </c>
      <c r="G35" s="6">
        <f ca="1"/>
        <v>0.98239960000000004</v>
      </c>
    </row>
    <row r="36" spans="1:7">
      <c r="A36" s="45" t="s">
        <v>92</v>
      </c>
      <c r="B36" s="7">
        <f ca="1"/>
        <v>9.9691896069508804E-2</v>
      </c>
      <c r="C36">
        <f ca="1"/>
        <v>56.563499999999998</v>
      </c>
      <c r="D36">
        <f ca="1"/>
        <v>60.387599999999999</v>
      </c>
      <c r="E36">
        <f ca="1"/>
        <v>25.536799999999999</v>
      </c>
      <c r="F36">
        <f ca="1"/>
        <v>27.028937500000001</v>
      </c>
      <c r="G36" s="4">
        <f ca="1"/>
        <v>0.97403309999999999</v>
      </c>
    </row>
    <row r="37" spans="1:7">
      <c r="A37" s="46"/>
      <c r="B37" s="7">
        <f ca="1"/>
        <v>0.32935235791348799</v>
      </c>
      <c r="C37">
        <f ca="1"/>
        <v>61.619700000000002</v>
      </c>
      <c r="D37">
        <f ca="1"/>
        <v>66.337100000000007</v>
      </c>
      <c r="E37">
        <f ca="1"/>
        <v>28.153400000000001</v>
      </c>
      <c r="F37">
        <f ca="1"/>
        <v>29.399337500000001</v>
      </c>
      <c r="G37" s="4">
        <f ca="1"/>
        <v>0.98365460000000005</v>
      </c>
    </row>
    <row r="38" spans="1:7">
      <c r="A38" s="46"/>
      <c r="B38" s="7">
        <f ca="1"/>
        <v>1.0985031486211501</v>
      </c>
      <c r="C38">
        <f ca="1"/>
        <v>66.975800000000007</v>
      </c>
      <c r="D38">
        <f ca="1"/>
        <v>71.807599999999994</v>
      </c>
      <c r="E38">
        <f ca="1"/>
        <v>29.898199999999999</v>
      </c>
      <c r="F38">
        <f ca="1"/>
        <v>30.643324999999997</v>
      </c>
      <c r="G38" s="4">
        <f ca="1"/>
        <v>0.98793129999999996</v>
      </c>
    </row>
    <row r="39" spans="1:7">
      <c r="A39" s="46"/>
      <c r="B39" s="7">
        <f ca="1"/>
        <v>3.2340238234692702</v>
      </c>
      <c r="C39">
        <f ca="1"/>
        <v>70.514600000000002</v>
      </c>
      <c r="D39">
        <f ca="1"/>
        <v>75.264799999999994</v>
      </c>
      <c r="E39">
        <f ca="1"/>
        <v>36.31</v>
      </c>
      <c r="F39">
        <f ca="1"/>
        <v>37.323475000000002</v>
      </c>
      <c r="G39" s="4">
        <f ca="1"/>
        <v>0.99610403999999997</v>
      </c>
    </row>
    <row r="40" spans="1:7">
      <c r="A40" s="45" t="s">
        <v>41</v>
      </c>
      <c r="B40" s="8">
        <f ca="1"/>
        <v>0.103798793230724</v>
      </c>
      <c r="C40" s="2">
        <f ca="1"/>
        <v>62.001100000000001</v>
      </c>
      <c r="D40" s="2">
        <f ca="1"/>
        <v>63.750799999999998</v>
      </c>
      <c r="E40" s="2">
        <f ca="1"/>
        <v>29.6493</v>
      </c>
      <c r="F40" s="2">
        <f ca="1"/>
        <v>32.564087499999999</v>
      </c>
      <c r="G40" s="3">
        <f ca="1"/>
        <v>0.98736919999999995</v>
      </c>
    </row>
    <row r="41" spans="1:7">
      <c r="A41" s="46"/>
      <c r="B41" s="7">
        <f ca="1"/>
        <v>0.31067550660395898</v>
      </c>
      <c r="C41">
        <f ca="1"/>
        <v>69.058099999999996</v>
      </c>
      <c r="D41">
        <f ca="1"/>
        <v>72.462299999999999</v>
      </c>
      <c r="E41">
        <f ca="1"/>
        <v>33.517499999999998</v>
      </c>
      <c r="F41">
        <f ca="1"/>
        <v>35.962287500000002</v>
      </c>
      <c r="G41" s="4">
        <f ca="1"/>
        <v>0.99218311999999997</v>
      </c>
    </row>
    <row r="42" spans="1:7">
      <c r="A42" s="46"/>
      <c r="B42" s="7">
        <f ca="1"/>
        <v>1.02476614946333</v>
      </c>
      <c r="C42">
        <f ca="1"/>
        <v>71.5441</v>
      </c>
      <c r="D42">
        <f ca="1"/>
        <v>75.8172</v>
      </c>
      <c r="E42">
        <f ca="1"/>
        <v>37.031100000000002</v>
      </c>
      <c r="F42">
        <f ca="1"/>
        <v>39.166924999999999</v>
      </c>
      <c r="G42" s="4">
        <f ca="1"/>
        <v>0.99586872000000004</v>
      </c>
    </row>
    <row r="43" spans="1:7">
      <c r="A43" s="47"/>
      <c r="B43" s="9">
        <f ca="1"/>
        <v>2.8882820000069298</v>
      </c>
      <c r="C43" s="5">
        <f ca="1"/>
        <v>72.853899999999996</v>
      </c>
      <c r="D43" s="5">
        <f ca="1"/>
        <v>77.381100000000004</v>
      </c>
      <c r="E43" s="5">
        <f ca="1"/>
        <v>39.753700000000002</v>
      </c>
      <c r="F43" s="5">
        <f ca="1"/>
        <v>42.028412500000002</v>
      </c>
      <c r="G43" s="6">
        <f ca="1"/>
        <v>0.99778120000000003</v>
      </c>
    </row>
    <row r="46" spans="1:7">
      <c r="C46" t="s">
        <v>45</v>
      </c>
      <c r="D46" t="s">
        <v>46</v>
      </c>
      <c r="E46" t="s">
        <v>11</v>
      </c>
      <c r="F46" t="s">
        <v>53</v>
      </c>
      <c r="G46" t="s">
        <v>47</v>
      </c>
    </row>
    <row r="47" spans="1:7">
      <c r="B47" t="s">
        <v>7</v>
      </c>
      <c r="C47">
        <f ca="1">ROUNDDOWN(SMALL(C32:C43,1),0)</f>
        <v>56</v>
      </c>
      <c r="D47">
        <f ca="1">ROUNDDOWN(SMALL(D32:D43,1),0)</f>
        <v>60</v>
      </c>
      <c r="E47">
        <f ca="1">ROUNDDOWN(SMALL(E32:E43,1),0)</f>
        <v>25</v>
      </c>
      <c r="F47">
        <f ca="1">ROUNDDOWN(SMALL(F32:F43,1),0)</f>
        <v>27</v>
      </c>
      <c r="G47">
        <f ca="1">ROUNDDOWN(SMALL(G32:G43,1),2)</f>
        <v>0.97</v>
      </c>
    </row>
    <row r="48" spans="1:7">
      <c r="B48" t="s">
        <v>10</v>
      </c>
      <c r="C48">
        <f ca="1">ROUNDUP(LARGE(C32:C43,1),0)</f>
        <v>75</v>
      </c>
      <c r="D48">
        <f ca="1">ROUNDUP(LARGE(D32:D43,1),0)</f>
        <v>79</v>
      </c>
      <c r="E48">
        <f ca="1">ROUNDUP(LARGE(E32:E43,1),0)</f>
        <v>40</v>
      </c>
      <c r="F48">
        <f ca="1">ROUNDUP(LARGE(F32:F43,1),0)</f>
        <v>43</v>
      </c>
      <c r="G48">
        <f ca="1">ROUNDUP(LARGE(G32:G43,1),2)</f>
        <v>1</v>
      </c>
    </row>
    <row r="49" spans="11:71">
      <c r="L49" t="s">
        <v>0</v>
      </c>
      <c r="M49" t="s">
        <v>1</v>
      </c>
      <c r="N49" t="s">
        <v>2</v>
      </c>
      <c r="O49" t="s">
        <v>3</v>
      </c>
      <c r="P49" t="s">
        <v>4</v>
      </c>
      <c r="Q49" t="s">
        <v>5</v>
      </c>
      <c r="Y49" t="s">
        <v>0</v>
      </c>
      <c r="Z49" t="s">
        <v>1</v>
      </c>
      <c r="AA49" t="s">
        <v>2</v>
      </c>
      <c r="AB49" t="s">
        <v>3</v>
      </c>
      <c r="AC49" t="s">
        <v>4</v>
      </c>
      <c r="AD49" t="s">
        <v>5</v>
      </c>
      <c r="AL49" t="s">
        <v>0</v>
      </c>
      <c r="AM49" t="s">
        <v>1</v>
      </c>
      <c r="AN49" t="s">
        <v>2</v>
      </c>
      <c r="AO49" t="s">
        <v>3</v>
      </c>
      <c r="AP49" t="s">
        <v>4</v>
      </c>
      <c r="AQ49" t="s">
        <v>5</v>
      </c>
      <c r="AY49" t="s">
        <v>0</v>
      </c>
      <c r="AZ49" t="s">
        <v>1</v>
      </c>
      <c r="BA49" t="s">
        <v>2</v>
      </c>
      <c r="BB49" t="s">
        <v>3</v>
      </c>
      <c r="BC49" t="s">
        <v>4</v>
      </c>
      <c r="BD49" t="s">
        <v>5</v>
      </c>
      <c r="BL49" t="s">
        <v>0</v>
      </c>
      <c r="BM49" t="s">
        <v>1</v>
      </c>
      <c r="BN49" t="s">
        <v>2</v>
      </c>
      <c r="BO49" t="s">
        <v>3</v>
      </c>
      <c r="BP49" t="s">
        <v>4</v>
      </c>
      <c r="BQ49" t="s">
        <v>5</v>
      </c>
    </row>
    <row r="51" spans="11:71">
      <c r="L51" t="s">
        <v>42</v>
      </c>
      <c r="M51" t="s">
        <v>6</v>
      </c>
      <c r="N51" t="s">
        <v>7</v>
      </c>
      <c r="O51" t="s">
        <v>8</v>
      </c>
      <c r="P51" t="s">
        <v>9</v>
      </c>
      <c r="Q51">
        <v>0</v>
      </c>
      <c r="S51" t="str" cm="1">
        <f t="array" ref="S51">setChartAxis(L51,M51,N51,O51,P51,Q51)</f>
        <v>X Primary Min: 0</v>
      </c>
      <c r="Y51" t="s">
        <v>42</v>
      </c>
      <c r="Z51" t="s">
        <v>12</v>
      </c>
      <c r="AA51" t="s">
        <v>7</v>
      </c>
      <c r="AB51" t="s">
        <v>8</v>
      </c>
      <c r="AC51" t="s">
        <v>9</v>
      </c>
      <c r="AD51">
        <v>0</v>
      </c>
      <c r="AF51" t="str" cm="1">
        <f t="array" ref="AF51">setChartAxis(Y51,Z51,AA51,AB51,AC51,AD51)</f>
        <v>X Primary Min: 0</v>
      </c>
      <c r="AL51" t="s">
        <v>42</v>
      </c>
      <c r="AM51" t="s">
        <v>50</v>
      </c>
      <c r="AN51" t="s">
        <v>7</v>
      </c>
      <c r="AO51" t="s">
        <v>8</v>
      </c>
      <c r="AP51" t="s">
        <v>9</v>
      </c>
      <c r="AQ51">
        <v>0</v>
      </c>
      <c r="AS51" t="str" cm="1">
        <f t="array" ref="AS51">setChartAxis(AL51,AM51,AN51,AO51,AP51,AQ51)</f>
        <v>X Primary Min: 0</v>
      </c>
      <c r="AY51" t="s">
        <v>42</v>
      </c>
      <c r="AZ51" t="s">
        <v>51</v>
      </c>
      <c r="BA51" t="s">
        <v>7</v>
      </c>
      <c r="BB51" t="s">
        <v>8</v>
      </c>
      <c r="BC51" t="s">
        <v>9</v>
      </c>
      <c r="BD51">
        <v>0</v>
      </c>
      <c r="BF51" t="str" cm="1">
        <f t="array" ref="BF51">setChartAxis(AY51,AZ51,BA51,BB51,BC51,BD51)</f>
        <v>X Primary Min: 0</v>
      </c>
      <c r="BL51" t="s">
        <v>42</v>
      </c>
      <c r="BM51" t="s">
        <v>52</v>
      </c>
      <c r="BN51" t="s">
        <v>7</v>
      </c>
      <c r="BO51" t="s">
        <v>8</v>
      </c>
      <c r="BP51" t="s">
        <v>9</v>
      </c>
      <c r="BQ51">
        <v>0</v>
      </c>
      <c r="BS51" t="str" cm="1">
        <f t="array" ref="BS51">setChartAxis(BL51,BM51,BN51,BO51,BP51,BQ51)</f>
        <v>X Primary Min: 0</v>
      </c>
    </row>
    <row r="52" spans="11:71">
      <c r="L52" t="str">
        <f>L51</f>
        <v>FinalData</v>
      </c>
      <c r="M52" t="str">
        <f>M51</f>
        <v>Chart1</v>
      </c>
      <c r="N52" t="s">
        <v>10</v>
      </c>
      <c r="O52" t="s">
        <v>8</v>
      </c>
      <c r="P52" t="s">
        <v>9</v>
      </c>
      <c r="Q52">
        <v>3.3</v>
      </c>
      <c r="S52" t="str" cm="1">
        <f t="array" ref="S52">setChartAxis(L52,M52,N52,O52,P52,Q52)</f>
        <v>X Primary Max: 3,3</v>
      </c>
      <c r="Y52" t="str">
        <f>Y51</f>
        <v>FinalData</v>
      </c>
      <c r="Z52" t="str">
        <f>Z51</f>
        <v>Chart2</v>
      </c>
      <c r="AA52" t="s">
        <v>10</v>
      </c>
      <c r="AB52" t="s">
        <v>8</v>
      </c>
      <c r="AC52" t="s">
        <v>9</v>
      </c>
      <c r="AD52">
        <f>Q52</f>
        <v>3.3</v>
      </c>
      <c r="AF52" t="str" cm="1">
        <f t="array" ref="AF52">setChartAxis(Y52,Z52,AA52,AB52,AC52,AD52)</f>
        <v>X Primary Max: 3,3</v>
      </c>
      <c r="AL52" t="str">
        <f>AL51</f>
        <v>FinalData</v>
      </c>
      <c r="AM52" t="str">
        <f>AM51</f>
        <v>Chart3</v>
      </c>
      <c r="AN52" t="s">
        <v>10</v>
      </c>
      <c r="AO52" t="s">
        <v>8</v>
      </c>
      <c r="AP52" t="s">
        <v>9</v>
      </c>
      <c r="AQ52">
        <f>AD52</f>
        <v>3.3</v>
      </c>
      <c r="AS52" t="str" cm="1">
        <f t="array" ref="AS52">setChartAxis(AL52,AM52,AN52,AO52,AP52,AQ52)</f>
        <v>X Primary Max: 3,3</v>
      </c>
      <c r="AY52" t="str">
        <f>AY51</f>
        <v>FinalData</v>
      </c>
      <c r="AZ52" t="str">
        <f>AZ51</f>
        <v>Chart4</v>
      </c>
      <c r="BA52" t="s">
        <v>10</v>
      </c>
      <c r="BB52" t="s">
        <v>8</v>
      </c>
      <c r="BC52" t="s">
        <v>9</v>
      </c>
      <c r="BD52">
        <f>AQ52</f>
        <v>3.3</v>
      </c>
      <c r="BF52" t="str" cm="1">
        <f t="array" ref="BF52">setChartAxis(AY52,AZ52,BA52,BB52,BC52,BD52)</f>
        <v>X Primary Max: 3,3</v>
      </c>
      <c r="BL52" t="str">
        <f>BL51</f>
        <v>FinalData</v>
      </c>
      <c r="BM52" t="str">
        <f>BM51</f>
        <v>Chart5</v>
      </c>
      <c r="BN52" t="s">
        <v>10</v>
      </c>
      <c r="BO52" t="s">
        <v>8</v>
      </c>
      <c r="BP52" t="s">
        <v>9</v>
      </c>
      <c r="BQ52">
        <f>BD52</f>
        <v>3.3</v>
      </c>
      <c r="BS52" t="str" cm="1">
        <f t="array" ref="BS52">setChartAxis(BL52,BM52,BN52,BO52,BP52,BQ52)</f>
        <v>X Primary Max: 3,3</v>
      </c>
    </row>
    <row r="53" spans="11:71">
      <c r="L53" t="str">
        <f>L51</f>
        <v>FinalData</v>
      </c>
      <c r="M53" t="str">
        <f>M51</f>
        <v>Chart1</v>
      </c>
      <c r="N53" t="s">
        <v>7</v>
      </c>
      <c r="O53" t="s">
        <v>11</v>
      </c>
      <c r="P53" t="s">
        <v>9</v>
      </c>
      <c r="Q53" s="1">
        <f ca="1">C47</f>
        <v>56</v>
      </c>
      <c r="S53" t="str" cm="1">
        <f t="array" aca="1" ref="S53" ca="1">setChartAxis(L53,M53,N53,O53,P53,Q53)</f>
        <v>Y Primary Min: 56</v>
      </c>
      <c r="Y53" t="str">
        <f>Y51</f>
        <v>FinalData</v>
      </c>
      <c r="Z53" t="str">
        <f>Z51</f>
        <v>Chart2</v>
      </c>
      <c r="AA53" t="s">
        <v>7</v>
      </c>
      <c r="AB53" t="s">
        <v>11</v>
      </c>
      <c r="AC53" t="s">
        <v>9</v>
      </c>
      <c r="AD53" s="1">
        <f ca="1">D47</f>
        <v>60</v>
      </c>
      <c r="AF53" t="str" cm="1">
        <f t="array" aca="1" ref="AF53" ca="1">setChartAxis(Y53,Z53,AA53,AB53,AC53,AD53)</f>
        <v>Y Primary Min: 60</v>
      </c>
      <c r="AL53" t="str">
        <f>AL51</f>
        <v>FinalData</v>
      </c>
      <c r="AM53" t="str">
        <f>AM51</f>
        <v>Chart3</v>
      </c>
      <c r="AN53" t="s">
        <v>7</v>
      </c>
      <c r="AO53" t="s">
        <v>11</v>
      </c>
      <c r="AP53" t="s">
        <v>9</v>
      </c>
      <c r="AQ53" s="1">
        <f ca="1">E47</f>
        <v>25</v>
      </c>
      <c r="AS53" t="str" cm="1">
        <f t="array" aca="1" ref="AS53" ca="1">setChartAxis(AL53,AM53,AN53,AO53,AP53,AQ53)</f>
        <v>Y Primary Min: 25</v>
      </c>
      <c r="AY53" t="str">
        <f>AY51</f>
        <v>FinalData</v>
      </c>
      <c r="AZ53" t="str">
        <f>AZ51</f>
        <v>Chart4</v>
      </c>
      <c r="BA53" t="s">
        <v>7</v>
      </c>
      <c r="BB53" t="s">
        <v>11</v>
      </c>
      <c r="BC53" t="s">
        <v>9</v>
      </c>
      <c r="BD53" s="1">
        <f ca="1">F47</f>
        <v>27</v>
      </c>
      <c r="BF53" t="str" cm="1">
        <f t="array" aca="1" ref="BF53" ca="1">setChartAxis(AY53,AZ53,BA53,BB53,BC53,BD53)</f>
        <v>Y Primary Min: 27</v>
      </c>
      <c r="BL53" t="str">
        <f>BL51</f>
        <v>FinalData</v>
      </c>
      <c r="BM53" t="str">
        <f>BM51</f>
        <v>Chart5</v>
      </c>
      <c r="BN53" t="s">
        <v>7</v>
      </c>
      <c r="BO53" t="s">
        <v>11</v>
      </c>
      <c r="BP53" t="s">
        <v>9</v>
      </c>
      <c r="BQ53" s="1">
        <f ca="1">G47</f>
        <v>0.97</v>
      </c>
      <c r="BS53" t="str" cm="1">
        <f t="array" aca="1" ref="BS53" ca="1">setChartAxis(BL53,BM53,BN53,BO53,BP53,BQ53)</f>
        <v>Y Primary Min: 0,97</v>
      </c>
    </row>
    <row r="54" spans="11:71">
      <c r="L54" t="str">
        <f>L51</f>
        <v>FinalData</v>
      </c>
      <c r="M54" t="str">
        <f>M51</f>
        <v>Chart1</v>
      </c>
      <c r="N54" t="s">
        <v>10</v>
      </c>
      <c r="O54" t="s">
        <v>11</v>
      </c>
      <c r="P54" t="s">
        <v>9</v>
      </c>
      <c r="Q54" s="1">
        <f ca="1">C48</f>
        <v>75</v>
      </c>
      <c r="S54" t="str" cm="1">
        <f t="array" aca="1" ref="S54" ca="1">setChartAxis(L54,M54,N54,O54,P54,Q54)</f>
        <v>Y Primary Max: 75</v>
      </c>
      <c r="Y54" t="str">
        <f>Y51</f>
        <v>FinalData</v>
      </c>
      <c r="Z54" t="str">
        <f>Z51</f>
        <v>Chart2</v>
      </c>
      <c r="AA54" t="s">
        <v>10</v>
      </c>
      <c r="AB54" t="s">
        <v>11</v>
      </c>
      <c r="AC54" t="s">
        <v>9</v>
      </c>
      <c r="AD54" s="1">
        <f ca="1">D48</f>
        <v>79</v>
      </c>
      <c r="AF54" t="str" cm="1">
        <f t="array" aca="1" ref="AF54" ca="1">setChartAxis(Y54,Z54,AA54,AB54,AC54,AD54)</f>
        <v>Y Primary Max: 79</v>
      </c>
      <c r="AL54" t="str">
        <f>AL51</f>
        <v>FinalData</v>
      </c>
      <c r="AM54" t="str">
        <f>AM51</f>
        <v>Chart3</v>
      </c>
      <c r="AN54" t="s">
        <v>10</v>
      </c>
      <c r="AO54" t="s">
        <v>11</v>
      </c>
      <c r="AP54" t="s">
        <v>9</v>
      </c>
      <c r="AQ54" s="1">
        <f ca="1">E48</f>
        <v>40</v>
      </c>
      <c r="AS54" t="str" cm="1">
        <f t="array" aca="1" ref="AS54" ca="1">setChartAxis(AL54,AM54,AN54,AO54,AP54,AQ54)</f>
        <v>Y Primary Max: 40</v>
      </c>
      <c r="AY54" t="str">
        <f>AY51</f>
        <v>FinalData</v>
      </c>
      <c r="AZ54" t="str">
        <f>AZ51</f>
        <v>Chart4</v>
      </c>
      <c r="BA54" t="s">
        <v>10</v>
      </c>
      <c r="BB54" t="s">
        <v>11</v>
      </c>
      <c r="BC54" t="s">
        <v>9</v>
      </c>
      <c r="BD54" s="1">
        <f ca="1">F48</f>
        <v>43</v>
      </c>
      <c r="BF54" t="str" cm="1">
        <f t="array" aca="1" ref="BF54" ca="1">setChartAxis(AY54,AZ54,BA54,BB54,BC54,BD54)</f>
        <v>Y Primary Max: 43</v>
      </c>
      <c r="BL54" t="str">
        <f>BL51</f>
        <v>FinalData</v>
      </c>
      <c r="BM54" t="str">
        <f>BM51</f>
        <v>Chart5</v>
      </c>
      <c r="BN54" t="s">
        <v>10</v>
      </c>
      <c r="BO54" t="s">
        <v>11</v>
      </c>
      <c r="BP54" t="s">
        <v>9</v>
      </c>
      <c r="BQ54" s="1">
        <f ca="1">G48</f>
        <v>1</v>
      </c>
      <c r="BS54" t="str" cm="1">
        <f t="array" aca="1" ref="BS54" ca="1">setChartAxis(BL54,BM54,BN54,BO54,BP54,BQ54)</f>
        <v>Y Primary Max: 1</v>
      </c>
    </row>
    <row r="59" spans="11:71" ht="26">
      <c r="K59" s="37" t="s">
        <v>78</v>
      </c>
    </row>
    <row r="62" spans="11:71" ht="21">
      <c r="K62" s="53" t="s">
        <v>89</v>
      </c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</row>
    <row r="64" spans="11:71">
      <c r="K64" s="12"/>
    </row>
    <row r="66" spans="11:32">
      <c r="K66" s="26"/>
      <c r="L66" s="41" t="s">
        <v>93</v>
      </c>
      <c r="M66" s="42"/>
      <c r="N66" s="42"/>
      <c r="O66" s="42"/>
      <c r="P66" s="42"/>
      <c r="Q66" s="42"/>
      <c r="R66" s="42"/>
      <c r="S66" s="42"/>
      <c r="T66" s="42"/>
      <c r="U66" s="43"/>
      <c r="W66" s="41" t="s">
        <v>88</v>
      </c>
      <c r="X66" s="42"/>
      <c r="Y66" s="42"/>
      <c r="Z66" s="42"/>
      <c r="AA66" s="42"/>
      <c r="AB66" s="42"/>
      <c r="AC66" s="42"/>
      <c r="AD66" s="42"/>
      <c r="AE66" s="42"/>
      <c r="AF66" s="43"/>
    </row>
    <row r="67" spans="11:32">
      <c r="K67" s="26"/>
      <c r="L67" s="51" t="s">
        <v>14</v>
      </c>
      <c r="M67" s="52"/>
      <c r="N67" s="38" t="s">
        <v>15</v>
      </c>
      <c r="O67" s="40"/>
      <c r="P67" s="52" t="s">
        <v>48</v>
      </c>
      <c r="Q67" s="52"/>
      <c r="R67" s="38" t="s">
        <v>49</v>
      </c>
      <c r="S67" s="40"/>
      <c r="T67" s="52" t="s">
        <v>47</v>
      </c>
      <c r="U67" s="54"/>
      <c r="W67" s="51" t="s">
        <v>14</v>
      </c>
      <c r="X67" s="52"/>
      <c r="Y67" s="38" t="s">
        <v>15</v>
      </c>
      <c r="Z67" s="40"/>
      <c r="AA67" s="52" t="s">
        <v>48</v>
      </c>
      <c r="AB67" s="52"/>
      <c r="AC67" s="38" t="s">
        <v>49</v>
      </c>
      <c r="AD67" s="40"/>
      <c r="AE67" s="52" t="s">
        <v>47</v>
      </c>
      <c r="AF67" s="54"/>
    </row>
    <row r="68" spans="11:32">
      <c r="K68" s="22" t="s">
        <v>55</v>
      </c>
      <c r="L68" s="34" t="s">
        <v>43</v>
      </c>
      <c r="M68" s="35" t="s">
        <v>44</v>
      </c>
      <c r="N68" s="34" t="s">
        <v>43</v>
      </c>
      <c r="O68" s="36" t="s">
        <v>44</v>
      </c>
      <c r="P68" s="35" t="s">
        <v>43</v>
      </c>
      <c r="Q68" s="35" t="s">
        <v>44</v>
      </c>
      <c r="R68" s="34" t="s">
        <v>43</v>
      </c>
      <c r="S68" s="36" t="s">
        <v>44</v>
      </c>
      <c r="T68" s="35" t="s">
        <v>43</v>
      </c>
      <c r="U68" s="36" t="s">
        <v>44</v>
      </c>
      <c r="W68" s="24" t="s">
        <v>43</v>
      </c>
      <c r="X68" s="25" t="s">
        <v>44</v>
      </c>
      <c r="Y68" s="24" t="s">
        <v>43</v>
      </c>
      <c r="Z68" s="23" t="s">
        <v>44</v>
      </c>
      <c r="AA68" s="25" t="s">
        <v>43</v>
      </c>
      <c r="AB68" s="25" t="s">
        <v>44</v>
      </c>
      <c r="AC68" s="24" t="s">
        <v>43</v>
      </c>
      <c r="AD68" s="23" t="s">
        <v>44</v>
      </c>
      <c r="AE68" s="25" t="s">
        <v>43</v>
      </c>
      <c r="AF68" s="23" t="s">
        <v>44</v>
      </c>
    </row>
    <row r="69" spans="11:32">
      <c r="K69" s="8" t="s">
        <v>56</v>
      </c>
      <c r="L69" s="15">
        <f>C18</f>
        <v>-0.78739504263137472</v>
      </c>
      <c r="M69" s="17">
        <f>C19</f>
        <v>6.3462838097343459</v>
      </c>
      <c r="N69" s="27">
        <f>D18</f>
        <v>-0.67783486449958996</v>
      </c>
      <c r="O69" s="31">
        <f>D19</f>
        <v>5.0703192121412837</v>
      </c>
      <c r="P69" s="15">
        <f>E18</f>
        <v>-0.73621028000077571</v>
      </c>
      <c r="Q69" s="17">
        <f>E19</f>
        <v>3.2793583500967927</v>
      </c>
      <c r="R69" s="15">
        <f>F18</f>
        <v>-0.84021914527640362</v>
      </c>
      <c r="S69" s="17">
        <f>F19</f>
        <v>4.7398091254895487</v>
      </c>
      <c r="T69" s="27">
        <f>G18</f>
        <v>-0.73464782230833869</v>
      </c>
      <c r="U69" s="17">
        <f>G19</f>
        <v>6.7692297635537036E-3</v>
      </c>
      <c r="W69" s="15">
        <f>C20</f>
        <v>1.7294176989060439E-2</v>
      </c>
      <c r="X69" s="17">
        <f>C21</f>
        <v>0.21825425134560617</v>
      </c>
      <c r="Y69" s="27">
        <f>D20</f>
        <v>4.8439342127458485E-2</v>
      </c>
      <c r="Z69" s="31">
        <f>D21</f>
        <v>4.1116292078610076E-2</v>
      </c>
      <c r="AA69" s="15">
        <f>E20</f>
        <v>1.3184180386208744</v>
      </c>
      <c r="AB69" s="17">
        <f>E21</f>
        <v>-2.634637220204918</v>
      </c>
      <c r="AC69" s="15">
        <f>F20</f>
        <v>1.317806493963078</v>
      </c>
      <c r="AD69" s="17">
        <f>F21</f>
        <v>-2.4555465889852424</v>
      </c>
      <c r="AE69" s="27">
        <f>G20</f>
        <v>0.73966525940390282</v>
      </c>
      <c r="AF69" s="17">
        <f>G21</f>
        <v>-2.2589117157704708E-3</v>
      </c>
    </row>
    <row r="70" spans="11:32">
      <c r="K70" s="7" t="s">
        <v>57</v>
      </c>
      <c r="L70" s="13">
        <f>I18</f>
        <v>-0.87240338560583974</v>
      </c>
      <c r="M70" s="18">
        <f>I19</f>
        <v>8.4316584372511141</v>
      </c>
      <c r="N70" s="28">
        <f>J18</f>
        <v>-0.80022415242841483</v>
      </c>
      <c r="O70" s="30">
        <f>J19</f>
        <v>7.7042308670286603</v>
      </c>
      <c r="P70" s="13">
        <f>K18</f>
        <v>-0.75961967371243511</v>
      </c>
      <c r="Q70" s="18">
        <f>K19</f>
        <v>3.730629585231398</v>
      </c>
      <c r="R70" s="13">
        <f>L18</f>
        <v>-0.87276752613448672</v>
      </c>
      <c r="S70" s="18">
        <f>L19</f>
        <v>5.7624530666462332</v>
      </c>
      <c r="T70" s="28">
        <f>M18</f>
        <v>-0.82628454509791849</v>
      </c>
      <c r="U70" s="18">
        <f>M19</f>
        <v>7.4870669549293627E-3</v>
      </c>
      <c r="W70" s="13">
        <f>I20</f>
        <v>-0.11523884389836891</v>
      </c>
      <c r="X70" s="18">
        <f>I21</f>
        <v>0.48281116783740441</v>
      </c>
      <c r="Y70" s="28">
        <f>J20</f>
        <v>-0.11302054342723378</v>
      </c>
      <c r="Z70" s="30">
        <f>J21</f>
        <v>0.61416245871998576</v>
      </c>
      <c r="AA70" s="13">
        <f>K20</f>
        <v>3.1154106686711467</v>
      </c>
      <c r="AB70" s="18">
        <f>K21</f>
        <v>-4.9053519655708344</v>
      </c>
      <c r="AC70" s="13">
        <f>L20</f>
        <v>2.712011788893407</v>
      </c>
      <c r="AD70" s="18">
        <f>L21</f>
        <v>-4.2335796999835038</v>
      </c>
      <c r="AE70" s="28">
        <f>M20</f>
        <v>1.1298862007889685</v>
      </c>
      <c r="AF70" s="18">
        <f>M21</f>
        <v>-2.565488046941739E-3</v>
      </c>
    </row>
    <row r="71" spans="11:32">
      <c r="K71" s="7" t="s">
        <v>58</v>
      </c>
      <c r="L71" s="13">
        <f>O18</f>
        <v>-0.84554155850148183</v>
      </c>
      <c r="M71" s="18">
        <f>O19</f>
        <v>7.4853746884019134</v>
      </c>
      <c r="N71" s="28">
        <f>P18</f>
        <v>-0.73577279302293519</v>
      </c>
      <c r="O71" s="30">
        <f>P19</f>
        <v>5.8548211837268891</v>
      </c>
      <c r="P71" s="13">
        <f>Q18</f>
        <v>-0.59982577706548579</v>
      </c>
      <c r="Q71" s="18">
        <f>Q19</f>
        <v>2.0414259296903077</v>
      </c>
      <c r="R71" s="13">
        <f>R18</f>
        <v>-0.77748489164649381</v>
      </c>
      <c r="S71" s="18">
        <f>R19</f>
        <v>3.5074264860941464</v>
      </c>
      <c r="T71" s="28">
        <f>S18</f>
        <v>-0.65137264646867377</v>
      </c>
      <c r="U71" s="18">
        <f>S19</f>
        <v>6.7579292898446806E-3</v>
      </c>
      <c r="W71" s="13">
        <f>O20</f>
        <v>3.6158948965968385E-2</v>
      </c>
      <c r="X71" s="18">
        <f>O21</f>
        <v>1.6616530513333481E-2</v>
      </c>
      <c r="Y71" s="28">
        <f>P20</f>
        <v>9.9344283044574322E-2</v>
      </c>
      <c r="Z71" s="30">
        <f>P21</f>
        <v>-0.22550170034775427</v>
      </c>
      <c r="AA71" s="13">
        <f>Q20</f>
        <v>1.4970894243087773</v>
      </c>
      <c r="AB71" s="18">
        <f>Q21</f>
        <v>-2.4687433945706769</v>
      </c>
      <c r="AC71" s="13">
        <f>R20</f>
        <v>1.1096877580086351</v>
      </c>
      <c r="AD71" s="18">
        <f>R21</f>
        <v>-1.8860811993637774</v>
      </c>
      <c r="AE71" s="28">
        <f>S20</f>
        <v>0.94187504831120705</v>
      </c>
      <c r="AF71" s="18">
        <f>S21</f>
        <v>-3.1748947093460495E-3</v>
      </c>
    </row>
    <row r="72" spans="11:32">
      <c r="K72" s="7" t="s">
        <v>59</v>
      </c>
      <c r="L72" s="13">
        <f>U18</f>
        <v>-0.76321581638404157</v>
      </c>
      <c r="M72" s="18">
        <f>U19</f>
        <v>5.7406591889489311</v>
      </c>
      <c r="N72" s="28">
        <f>V18</f>
        <v>-0.63047316933767772</v>
      </c>
      <c r="O72" s="30">
        <f>V19</f>
        <v>4.2901429446647823</v>
      </c>
      <c r="P72" s="13">
        <f>W18</f>
        <v>-0.53692608430761291</v>
      </c>
      <c r="Q72" s="18">
        <f>W19</f>
        <v>1.5662971404044119</v>
      </c>
      <c r="R72" s="13">
        <f>X18</f>
        <v>-0.70051638751127321</v>
      </c>
      <c r="S72" s="18">
        <f>X19</f>
        <v>2.4935554467277679</v>
      </c>
      <c r="T72" s="28">
        <f>Y18</f>
        <v>-0.59402690912687428</v>
      </c>
      <c r="U72" s="18">
        <f>Y19</f>
        <v>5.629785847607551E-3</v>
      </c>
      <c r="W72" s="13">
        <f>U20</f>
        <v>-0.13099963525958669</v>
      </c>
      <c r="X72" s="18">
        <f>U21</f>
        <v>2.4060196157387175</v>
      </c>
      <c r="Y72" s="28">
        <f>V20</f>
        <v>-5.337712074161538E-2</v>
      </c>
      <c r="Z72" s="30">
        <f>V21</f>
        <v>2.1455204191392432</v>
      </c>
      <c r="AA72" s="13">
        <f>W20</f>
        <v>0.43045561964675216</v>
      </c>
      <c r="AB72" s="18">
        <f>W21</f>
        <v>-0.51898274460025606</v>
      </c>
      <c r="AC72" s="13">
        <f>X20</f>
        <v>0.49642707750563186</v>
      </c>
      <c r="AD72" s="18">
        <f>X21</f>
        <v>-0.64862018731815274</v>
      </c>
      <c r="AE72" s="28">
        <f>Y20</f>
        <v>0.34264055756654987</v>
      </c>
      <c r="AF72" s="18">
        <f>Y21</f>
        <v>-1.1442650467328784E-3</v>
      </c>
    </row>
    <row r="73" spans="11:32">
      <c r="K73" s="7" t="s">
        <v>60</v>
      </c>
      <c r="L73" s="13">
        <f>AA18</f>
        <v>-0.8470181592480116</v>
      </c>
      <c r="M73" s="18">
        <f>AA19</f>
        <v>7.4327346425505558</v>
      </c>
      <c r="N73" s="28">
        <f>AB18</f>
        <v>-0.73848118610442648</v>
      </c>
      <c r="O73" s="30">
        <f>AB19</f>
        <v>5.8132255988911536</v>
      </c>
      <c r="P73" s="13">
        <f>AC18</f>
        <v>-0.63772525266097113</v>
      </c>
      <c r="Q73" s="18">
        <f>AC19</f>
        <v>1.8381874360585091</v>
      </c>
      <c r="R73" s="13">
        <f>AD18</f>
        <v>-0.81890970919502826</v>
      </c>
      <c r="S73" s="18">
        <f>AD19</f>
        <v>4.1860465801024134</v>
      </c>
      <c r="T73" s="28">
        <f>AE18</f>
        <v>-0.66509988539554066</v>
      </c>
      <c r="U73" s="18">
        <f>AE19</f>
        <v>6.5905676901729824E-3</v>
      </c>
      <c r="W73" s="13">
        <f>AA20</f>
        <v>0.17085116918622978</v>
      </c>
      <c r="X73" s="18">
        <f>AA21</f>
        <v>2.011365693607678</v>
      </c>
      <c r="Y73" s="28">
        <f>AB20</f>
        <v>0.26892212931266202</v>
      </c>
      <c r="Z73" s="30">
        <f>AB21</f>
        <v>1.5949315151242622</v>
      </c>
      <c r="AA73" s="13">
        <f>AC20</f>
        <v>1.9271343600543549</v>
      </c>
      <c r="AB73" s="18">
        <f>AC21</f>
        <v>-1.7559083588394944</v>
      </c>
      <c r="AC73" s="13">
        <f>AD20</f>
        <v>1.8581070099954169</v>
      </c>
      <c r="AD73" s="18">
        <f>AD21</f>
        <v>-1.6580255229721679</v>
      </c>
      <c r="AE73" s="28">
        <f>AE20</f>
        <v>1.6205799321895924</v>
      </c>
      <c r="AF73" s="18">
        <f>AE21</f>
        <v>-3.705518595514191E-3</v>
      </c>
    </row>
    <row r="74" spans="11:32">
      <c r="K74" s="7" t="s">
        <v>61</v>
      </c>
      <c r="L74" s="13">
        <f>AG18</f>
        <v>-0.50604302033799187</v>
      </c>
      <c r="M74" s="18">
        <f>AG19</f>
        <v>2.8235177110065668</v>
      </c>
      <c r="N74" s="28">
        <f>AH18</f>
        <v>-0.26331416125804141</v>
      </c>
      <c r="O74" s="30">
        <f>AH19</f>
        <v>1.3425633804681143</v>
      </c>
      <c r="P74" s="13">
        <f>AI18</f>
        <v>-0.43846757321780294</v>
      </c>
      <c r="Q74" s="18">
        <f>AI19</f>
        <v>0.69473548277089436</v>
      </c>
      <c r="R74" s="13">
        <f>AJ18</f>
        <v>-0.43059776594498733</v>
      </c>
      <c r="S74" s="18">
        <f>AJ19</f>
        <v>0.60452610655633132</v>
      </c>
      <c r="T74" s="28">
        <f>AK18</f>
        <v>-0.4873590335751512</v>
      </c>
      <c r="U74" s="18">
        <f>AK19</f>
        <v>4.5346090293561982E-3</v>
      </c>
      <c r="W74" s="13">
        <f>AG20</f>
        <v>9.7222602773137101E-2</v>
      </c>
      <c r="X74" s="18">
        <f>AG21</f>
        <v>-0.12053131853368346</v>
      </c>
      <c r="Y74" s="28">
        <f>AH20</f>
        <v>-3.8248917409737571E-2</v>
      </c>
      <c r="Z74" s="30">
        <f>AH21</f>
        <v>1.0866767189438602</v>
      </c>
      <c r="AA74" s="13">
        <f>AI20</f>
        <v>1.0842355814429214</v>
      </c>
      <c r="AB74" s="18">
        <f>AI21</f>
        <v>-2.1333623801553299</v>
      </c>
      <c r="AC74" s="13">
        <f>AJ20</f>
        <v>1.8248729862574224</v>
      </c>
      <c r="AD74" s="18">
        <f>AJ21</f>
        <v>-2.4845978503374182</v>
      </c>
      <c r="AE74" s="28">
        <f>AK20</f>
        <v>0.82035102100651502</v>
      </c>
      <c r="AF74" s="18">
        <f>AK21</f>
        <v>-5.5450028230547479E-3</v>
      </c>
    </row>
    <row r="75" spans="11:32">
      <c r="K75" s="7" t="s">
        <v>62</v>
      </c>
      <c r="L75" s="13">
        <f>AM18</f>
        <v>-0.88318109420166291</v>
      </c>
      <c r="M75" s="18">
        <f>AM19</f>
        <v>7.6147273958910349</v>
      </c>
      <c r="N75" s="28">
        <f>AN18</f>
        <v>-0.79308370134835904</v>
      </c>
      <c r="O75" s="30">
        <f>AN19</f>
        <v>6.7340235293343831</v>
      </c>
      <c r="P75" s="13">
        <f>AO18</f>
        <v>-0.64919325781238824</v>
      </c>
      <c r="Q75" s="18">
        <f>AO19</f>
        <v>1.2802707785892706</v>
      </c>
      <c r="R75" s="13">
        <f>AP18</f>
        <v>-0.77571439915439111</v>
      </c>
      <c r="S75" s="18">
        <f>AP19</f>
        <v>2.1160037470001503</v>
      </c>
      <c r="T75" s="28">
        <f>AQ18</f>
        <v>-0.72391429764860926</v>
      </c>
      <c r="U75" s="18">
        <f>AQ19</f>
        <v>5.9108144914178963E-3</v>
      </c>
      <c r="W75" s="13">
        <f>AM20</f>
        <v>0.76161678004546318</v>
      </c>
      <c r="X75" s="18">
        <f>AM21</f>
        <v>-1.7553569772658295</v>
      </c>
      <c r="Y75" s="28">
        <f>AN20</f>
        <v>0.74023135893030045</v>
      </c>
      <c r="Z75" s="30">
        <f>AN21</f>
        <v>-2.1735766406562371</v>
      </c>
      <c r="AA75" s="13">
        <f>AO20</f>
        <v>3.9348572089972453</v>
      </c>
      <c r="AB75" s="18">
        <f>AO21</f>
        <v>-3.5866193876859991</v>
      </c>
      <c r="AC75" s="13">
        <f>AP20</f>
        <v>3.9914900739741181</v>
      </c>
      <c r="AD75" s="18">
        <f>AP21</f>
        <v>-3.1330828248572149</v>
      </c>
      <c r="AE75" s="28">
        <f>AQ20</f>
        <v>2.6068636443764759</v>
      </c>
      <c r="AF75" s="18">
        <f>AQ21</f>
        <v>-5.321115524009476E-3</v>
      </c>
    </row>
    <row r="76" spans="11:32">
      <c r="K76" s="7" t="s">
        <v>63</v>
      </c>
      <c r="L76" s="13">
        <f>AS18</f>
        <v>-0.85690593760434663</v>
      </c>
      <c r="M76" s="18">
        <f>AS19</f>
        <v>7.6977088286214528</v>
      </c>
      <c r="N76" s="28">
        <f>AT18</f>
        <v>-0.74201523268201264</v>
      </c>
      <c r="O76" s="30">
        <f>AT19</f>
        <v>6.3532269859765167</v>
      </c>
      <c r="P76" s="13">
        <f>AU18</f>
        <v>-0.65475768221298392</v>
      </c>
      <c r="Q76" s="18">
        <f>AU19</f>
        <v>1.2728095662406544</v>
      </c>
      <c r="R76" s="13">
        <f>AV18</f>
        <v>-0.77457682366353464</v>
      </c>
      <c r="S76" s="18">
        <f>AV19</f>
        <v>2.3723678682782285</v>
      </c>
      <c r="T76" s="28">
        <f>AW18</f>
        <v>-0.73688943864757817</v>
      </c>
      <c r="U76" s="18">
        <f>AW19</f>
        <v>5.702803012165799E-3</v>
      </c>
      <c r="W76" s="13">
        <f>AS20</f>
        <v>0.11569086449455024</v>
      </c>
      <c r="X76" s="18">
        <f>AS21</f>
        <v>-0.2335326021156244</v>
      </c>
      <c r="Y76" s="28">
        <f>AT20</f>
        <v>0.20984185165191427</v>
      </c>
      <c r="Z76" s="30">
        <f>AT21</f>
        <v>-0.6256977019397626</v>
      </c>
      <c r="AA76" s="13">
        <f>AU20</f>
        <v>1.7845904047764685</v>
      </c>
      <c r="AB76" s="18">
        <f>AU21</f>
        <v>-2.013377792059341</v>
      </c>
      <c r="AC76" s="13">
        <f>AV20</f>
        <v>4.2784187457557072</v>
      </c>
      <c r="AD76" s="18">
        <f>AV21</f>
        <v>-2.5859213028963319</v>
      </c>
      <c r="AE76" s="28">
        <f>AW20</f>
        <v>1.2865254815300076</v>
      </c>
      <c r="AF76" s="18">
        <f>AW21</f>
        <v>-3.1866809535639955E-3</v>
      </c>
    </row>
    <row r="77" spans="11:32">
      <c r="K77" s="7" t="s">
        <v>64</v>
      </c>
      <c r="L77" s="13">
        <f>AY18</f>
        <v>-0.62584358822445685</v>
      </c>
      <c r="M77" s="18">
        <f>AY19</f>
        <v>4.1383221478978349</v>
      </c>
      <c r="N77" s="28">
        <f>AZ18</f>
        <v>-0.47464533338091808</v>
      </c>
      <c r="O77" s="30">
        <f>AZ19</f>
        <v>3.4925298374774143</v>
      </c>
      <c r="P77" s="13">
        <f>BA18</f>
        <v>-0.61819935434359152</v>
      </c>
      <c r="Q77" s="18">
        <f>BA19</f>
        <v>2.4810268785815239</v>
      </c>
      <c r="R77" s="13">
        <f>BB18</f>
        <v>-0.75650115665285156</v>
      </c>
      <c r="S77" s="18">
        <f>BB19</f>
        <v>3.1343723376570871</v>
      </c>
      <c r="T77" s="28">
        <f>BC18</f>
        <v>-0.65336310358215954</v>
      </c>
      <c r="U77" s="18">
        <f>BC19</f>
        <v>6.7519928925450336E-3</v>
      </c>
      <c r="W77" s="13">
        <f>AY20</f>
        <v>0.84990640185341615</v>
      </c>
      <c r="X77" s="18">
        <f>AY21</f>
        <v>-1.4714438090805286</v>
      </c>
      <c r="Y77" s="28">
        <f>AZ20</f>
        <v>0.96408343647826356</v>
      </c>
      <c r="Z77" s="30">
        <f>AZ21</f>
        <v>-1.8355732785910934</v>
      </c>
      <c r="AA77" s="13">
        <f>BA20</f>
        <v>3.5225622474541138</v>
      </c>
      <c r="AB77" s="18">
        <f>BA21</f>
        <v>-5.3966808453033561</v>
      </c>
      <c r="AC77" s="13">
        <f>BB20</f>
        <v>4.0453789854812809</v>
      </c>
      <c r="AD77" s="18">
        <f>BB21</f>
        <v>-5.0265105338427851</v>
      </c>
      <c r="AE77" s="28">
        <f>BC20</f>
        <v>4.0696899846827694</v>
      </c>
      <c r="AF77" s="18">
        <f>BC21</f>
        <v>-6.252644010537288E-3</v>
      </c>
    </row>
    <row r="78" spans="11:32">
      <c r="K78" s="7" t="s">
        <v>65</v>
      </c>
      <c r="L78" s="13">
        <f>BE18</f>
        <v>-0.80742234346039377</v>
      </c>
      <c r="M78" s="18">
        <f>BE19</f>
        <v>5.8547608428867468</v>
      </c>
      <c r="N78" s="28">
        <f>BF18</f>
        <v>-0.65807855777087099</v>
      </c>
      <c r="O78" s="30">
        <f>BF19</f>
        <v>4.1207240409983452</v>
      </c>
      <c r="P78" s="13">
        <f>BG18</f>
        <v>-0.72757223556045625</v>
      </c>
      <c r="Q78" s="18">
        <f>BG19</f>
        <v>3.6133839465048432</v>
      </c>
      <c r="R78" s="13">
        <f>BH18</f>
        <v>-0.82213741691445652</v>
      </c>
      <c r="S78" s="18">
        <f>BH19</f>
        <v>6.1707801276157941</v>
      </c>
      <c r="T78" s="28">
        <f>BI18</f>
        <v>-0.7210052200261905</v>
      </c>
      <c r="U78" s="18">
        <f>BI19</f>
        <v>1.0824447538596604E-2</v>
      </c>
      <c r="W78" s="13">
        <f>BE20</f>
        <v>-0.70109183908849071</v>
      </c>
      <c r="X78" s="18">
        <f>BE21</f>
        <v>2.7806457613787896</v>
      </c>
      <c r="Y78" s="28">
        <f>BF20</f>
        <v>-0.60913732201499182</v>
      </c>
      <c r="Z78" s="30">
        <f>BF21</f>
        <v>2.4224666378785678</v>
      </c>
      <c r="AA78" s="13">
        <f>BG20</f>
        <v>0.68080369592389922</v>
      </c>
      <c r="AB78" s="18">
        <f>BG21</f>
        <v>-0.3703449694817208</v>
      </c>
      <c r="AC78" s="13">
        <f>BH20</f>
        <v>1</v>
      </c>
      <c r="AD78" s="18">
        <f>BH21</f>
        <v>-0.62972493080152081</v>
      </c>
      <c r="AE78" s="28">
        <f>BI20</f>
        <v>1</v>
      </c>
      <c r="AF78" s="18">
        <f>BI21</f>
        <v>-1.158889672210465E-3</v>
      </c>
    </row>
    <row r="79" spans="11:32">
      <c r="K79" s="7" t="s">
        <v>66</v>
      </c>
      <c r="L79" s="13">
        <f>BK18</f>
        <v>-0.90165799922450718</v>
      </c>
      <c r="M79" s="18">
        <f>BK19</f>
        <v>7.8353994522599235</v>
      </c>
      <c r="N79" s="28">
        <f>BL18</f>
        <v>-0.8355049466707517</v>
      </c>
      <c r="O79" s="30">
        <f>BL19</f>
        <v>7.0556272918783529</v>
      </c>
      <c r="P79" s="13">
        <f>BM18</f>
        <v>-0.62190405553348616</v>
      </c>
      <c r="Q79" s="18">
        <f>BM19</f>
        <v>1.6314747414759849</v>
      </c>
      <c r="R79" s="13">
        <f>BN18</f>
        <v>-0.72226592832314407</v>
      </c>
      <c r="S79" s="18">
        <f>BN19</f>
        <v>2.1527249585830801</v>
      </c>
      <c r="T79" s="28">
        <f>BO18</f>
        <v>-0.68740364398184295</v>
      </c>
      <c r="U79" s="18">
        <f>BO19</f>
        <v>5.3094921515319049E-3</v>
      </c>
      <c r="W79" s="13">
        <f>BK20</f>
        <v>2.0102723542219554</v>
      </c>
      <c r="X79" s="18">
        <f>BK21</f>
        <v>-2.5067764877923642</v>
      </c>
      <c r="Y79" s="28">
        <f>BL20</f>
        <v>2.6604074377984901</v>
      </c>
      <c r="Z79" s="30">
        <f>BL21</f>
        <v>-3.3873529527705499</v>
      </c>
      <c r="AA79" s="13">
        <f>BM20</f>
        <v>3.9673263008590869</v>
      </c>
      <c r="AB79" s="18">
        <f>BM21</f>
        <v>-3.9601153349103315</v>
      </c>
      <c r="AC79" s="13">
        <f>BN20</f>
        <v>4.0295567703011299</v>
      </c>
      <c r="AD79" s="18">
        <f>BN21</f>
        <v>-3.5582438179653697</v>
      </c>
      <c r="AE79" s="28">
        <f>BO20</f>
        <v>3.2547032121495896</v>
      </c>
      <c r="AF79" s="18">
        <f>BO21</f>
        <v>-4.985664454964768E-3</v>
      </c>
    </row>
    <row r="80" spans="11:32">
      <c r="K80" s="7" t="s">
        <v>67</v>
      </c>
      <c r="L80" s="13">
        <f>BQ18</f>
        <v>-0.76718376468960736</v>
      </c>
      <c r="M80" s="18">
        <f>BQ19</f>
        <v>5.8257452707379898</v>
      </c>
      <c r="N80" s="28">
        <f>BR18</f>
        <v>-0.62194113828233033</v>
      </c>
      <c r="O80" s="30">
        <f>BR19</f>
        <v>4.1810572396934411</v>
      </c>
      <c r="P80" s="13">
        <f>BS18</f>
        <v>-0.48107202640377811</v>
      </c>
      <c r="Q80" s="18">
        <f>BS19</f>
        <v>1.1944862977337365</v>
      </c>
      <c r="R80" s="13">
        <f>BT18</f>
        <v>-0.48962457692994077</v>
      </c>
      <c r="S80" s="18">
        <f>BT19</f>
        <v>1.2542256542691086</v>
      </c>
      <c r="T80" s="28">
        <f>BU18</f>
        <v>-0.62518778800951424</v>
      </c>
      <c r="U80" s="18">
        <f>BU19</f>
        <v>6.2165904439322097E-3</v>
      </c>
      <c r="W80" s="13">
        <f>BQ20</f>
        <v>0.55553825757860364</v>
      </c>
      <c r="X80" s="18">
        <f>BQ21</f>
        <v>-1.2792526181570589</v>
      </c>
      <c r="Y80" s="28">
        <f>BR20</f>
        <v>0.29218174576162892</v>
      </c>
      <c r="Z80" s="30">
        <f>BR21</f>
        <v>-0.70308271629451602</v>
      </c>
      <c r="AA80" s="13">
        <f>BS20</f>
        <v>1.6644348947915364</v>
      </c>
      <c r="AB80" s="18">
        <f>BS21</f>
        <v>-2.2525437124856516</v>
      </c>
      <c r="AC80" s="13">
        <f>BT20</f>
        <v>2.3905235361096362</v>
      </c>
      <c r="AD80" s="18">
        <f>BT21</f>
        <v>-2.5311485603642674</v>
      </c>
      <c r="AE80" s="28">
        <f>BU20</f>
        <v>1.4694366058290012</v>
      </c>
      <c r="AF80" s="18">
        <f>BU21</f>
        <v>-4.1900891502050022E-3</v>
      </c>
    </row>
    <row r="81" spans="11:32">
      <c r="K81" s="7" t="s">
        <v>68</v>
      </c>
      <c r="L81" s="13">
        <f>BW18</f>
        <v>-0.9272555368256763</v>
      </c>
      <c r="M81" s="18">
        <f>BW19</f>
        <v>9.1837066554771702</v>
      </c>
      <c r="N81" s="28">
        <f>BX18</f>
        <v>-0.8329997183210669</v>
      </c>
      <c r="O81" s="30">
        <f>BX19</f>
        <v>7.9840097420858029</v>
      </c>
      <c r="P81" s="13">
        <f>BY18</f>
        <v>-0.84971573352612406</v>
      </c>
      <c r="Q81" s="18">
        <f>BY19</f>
        <v>6.7441376621371409</v>
      </c>
      <c r="R81" s="13">
        <f>BZ18</f>
        <v>-0.90062124529379006</v>
      </c>
      <c r="S81" s="18">
        <f>BZ19</f>
        <v>9.0932476160619977</v>
      </c>
      <c r="T81" s="28">
        <f>CA18</f>
        <v>-0.87557782370074111</v>
      </c>
      <c r="U81" s="18">
        <f>CA19</f>
        <v>1.3621332537061433E-2</v>
      </c>
      <c r="W81" s="13">
        <f>BW20</f>
        <v>-0.43670483863539022</v>
      </c>
      <c r="X81" s="18">
        <f>BW21</f>
        <v>3.1156252711621737</v>
      </c>
      <c r="Y81" s="28">
        <f>BX20</f>
        <v>-2.0864506230258151E-3</v>
      </c>
      <c r="Z81" s="30">
        <f>BX21</f>
        <v>2.6803315668888432</v>
      </c>
      <c r="AA81" s="13">
        <f>BY20</f>
        <v>3.1091566822142429</v>
      </c>
      <c r="AB81" s="18">
        <f>BY21</f>
        <v>-4.3654226122705824</v>
      </c>
      <c r="AC81" s="13">
        <f>BZ20</f>
        <v>2.739173768274743</v>
      </c>
      <c r="AD81" s="18">
        <f>BZ21</f>
        <v>-3.942651788237006</v>
      </c>
      <c r="AE81" s="28">
        <f>CA20</f>
        <v>1.6509094152209567</v>
      </c>
      <c r="AF81" s="18">
        <f>CA21</f>
        <v>-3.2159473166357361E-3</v>
      </c>
    </row>
    <row r="82" spans="11:32">
      <c r="K82" s="7" t="s">
        <v>69</v>
      </c>
      <c r="L82" s="13">
        <f>CC18</f>
        <v>-0.77311542687075396</v>
      </c>
      <c r="M82" s="18">
        <f>CC19</f>
        <v>6.114873003821411</v>
      </c>
      <c r="N82" s="28">
        <f>CD18</f>
        <v>-0.67224512301757944</v>
      </c>
      <c r="O82" s="30">
        <f>CD19</f>
        <v>5.245031159334987</v>
      </c>
      <c r="P82" s="13">
        <f>CE18</f>
        <v>-0.53721585953455564</v>
      </c>
      <c r="Q82" s="18">
        <f>CE19</f>
        <v>1.6072023495700247</v>
      </c>
      <c r="R82" s="13">
        <f>CF18</f>
        <v>-0.61709189130869857</v>
      </c>
      <c r="S82" s="18">
        <f>CF19</f>
        <v>1.9263830730382514</v>
      </c>
      <c r="T82" s="28">
        <f>CG18</f>
        <v>-0.50090049565180783</v>
      </c>
      <c r="U82" s="18">
        <f>CG19</f>
        <v>5.0911386265018463E-3</v>
      </c>
      <c r="W82" s="13">
        <f>CC20</f>
        <v>-0.40712117219773569</v>
      </c>
      <c r="X82" s="18">
        <f>CC21</f>
        <v>3.9825102357990843</v>
      </c>
      <c r="Y82" s="28">
        <f>CD20</f>
        <v>-0.30989842989955974</v>
      </c>
      <c r="Z82" s="30">
        <f>CD21</f>
        <v>3.8410884789517947</v>
      </c>
      <c r="AA82" s="13">
        <f>CE20</f>
        <v>0.41082485718040784</v>
      </c>
      <c r="AB82" s="18">
        <f>CE21</f>
        <v>-0.75775018749942369</v>
      </c>
      <c r="AC82" s="13">
        <f>CF20</f>
        <v>0.46229006490321245</v>
      </c>
      <c r="AD82" s="18">
        <f>CF21</f>
        <v>-0.77572718400332186</v>
      </c>
      <c r="AE82" s="28">
        <f>CG20</f>
        <v>0.38560385147836351</v>
      </c>
      <c r="AF82" s="18">
        <f>CG21</f>
        <v>-2.0270052886260095E-3</v>
      </c>
    </row>
    <row r="83" spans="11:32">
      <c r="K83" s="7" t="s">
        <v>70</v>
      </c>
      <c r="L83" s="13">
        <f>CI18</f>
        <v>-0.70593429425603971</v>
      </c>
      <c r="M83" s="18">
        <f>CI19</f>
        <v>5.0903978419420755</v>
      </c>
      <c r="N83" s="28">
        <f>CJ18</f>
        <v>-0.49138754995862077</v>
      </c>
      <c r="O83" s="30">
        <f>CJ19</f>
        <v>3.6610599412070362</v>
      </c>
      <c r="P83" s="13">
        <f>CK18</f>
        <v>-0.74058614005148649</v>
      </c>
      <c r="Q83" s="18">
        <f>CK19</f>
        <v>3.1374837294248512</v>
      </c>
      <c r="R83" s="13">
        <f>CL18</f>
        <v>-0.77648332283138077</v>
      </c>
      <c r="S83" s="18">
        <f>CL19</f>
        <v>3.1985683535323912</v>
      </c>
      <c r="T83" s="28">
        <f>CM18</f>
        <v>-0.74982367006391648</v>
      </c>
      <c r="U83" s="18">
        <f>CM19</f>
        <v>7.0084192954453176E-3</v>
      </c>
      <c r="W83" s="13">
        <f>CI20</f>
        <v>2.7676758129101264</v>
      </c>
      <c r="X83" s="18">
        <f>CI21</f>
        <v>-4.2507134498161747</v>
      </c>
      <c r="Y83" s="28">
        <f>CJ20</f>
        <v>4.7467742859025135</v>
      </c>
      <c r="Z83" s="30">
        <f>CJ21</f>
        <v>-7.9148039364367655</v>
      </c>
      <c r="AA83" s="13">
        <f>CK20</f>
        <v>5.8825510837770647</v>
      </c>
      <c r="AB83" s="18">
        <f>CK21</f>
        <v>-6.0409638826579162</v>
      </c>
      <c r="AC83" s="13">
        <f>CL20</f>
        <v>6.7894656075458792</v>
      </c>
      <c r="AD83" s="18">
        <f>CL21</f>
        <v>-5.3654520807259365</v>
      </c>
      <c r="AE83" s="28">
        <f>CM20</f>
        <v>5.4297010566403401</v>
      </c>
      <c r="AF83" s="18">
        <f>CM21</f>
        <v>-6.0207403158251656E-3</v>
      </c>
    </row>
    <row r="84" spans="11:32">
      <c r="K84" s="7" t="s">
        <v>71</v>
      </c>
      <c r="L84" s="13">
        <f>CO18</f>
        <v>-0.86404317885353188</v>
      </c>
      <c r="M84" s="18">
        <f>CO19</f>
        <v>8.6008108733847735</v>
      </c>
      <c r="N84" s="28">
        <f>CP18</f>
        <v>-0.77351581235657341</v>
      </c>
      <c r="O84" s="30">
        <f>CP19</f>
        <v>7.4383386666768692</v>
      </c>
      <c r="P84" s="13">
        <f>CQ18</f>
        <v>-0.75855438826457755</v>
      </c>
      <c r="Q84" s="18">
        <f>CQ19</f>
        <v>2.6840282731244702</v>
      </c>
      <c r="R84" s="13">
        <f>CR18</f>
        <v>-0.81400137659299532</v>
      </c>
      <c r="S84" s="18">
        <f>CR19</f>
        <v>2.9508278890155006</v>
      </c>
      <c r="T84" s="28">
        <f>CS18</f>
        <v>-0.78696033008564648</v>
      </c>
      <c r="U84" s="18">
        <f>CS19</f>
        <v>5.5729183139507183E-3</v>
      </c>
      <c r="W84" s="13">
        <f>CO20</f>
        <v>-6.6560336538193154E-2</v>
      </c>
      <c r="X84" s="18">
        <f>CO21</f>
        <v>0.41119680750638848</v>
      </c>
      <c r="Y84" s="28">
        <f>CP20</f>
        <v>-3.3946820384227694E-2</v>
      </c>
      <c r="Z84" s="30">
        <f>CP21</f>
        <v>0.35703571143920249</v>
      </c>
      <c r="AA84" s="13">
        <f>CQ20</f>
        <v>1.9578529142557533</v>
      </c>
      <c r="AB84" s="18">
        <f>CQ21</f>
        <v>-4.3092067362774511</v>
      </c>
      <c r="AC84" s="13">
        <f>CR20</f>
        <v>2.0081639209103423</v>
      </c>
      <c r="AD84" s="18">
        <f>CR21</f>
        <v>-3.6618162161741852</v>
      </c>
      <c r="AE84" s="28">
        <f>CS20</f>
        <v>0.96888402106117288</v>
      </c>
      <c r="AF84" s="18">
        <f>CS21</f>
        <v>-2.4132010620225774E-3</v>
      </c>
    </row>
    <row r="85" spans="11:32">
      <c r="K85" s="7" t="s">
        <v>72</v>
      </c>
      <c r="L85" s="13">
        <f>CU18</f>
        <v>-0.62886021937563341</v>
      </c>
      <c r="M85" s="18">
        <f>CU19</f>
        <v>4.5856541605221084</v>
      </c>
      <c r="N85" s="28">
        <f>CV18</f>
        <v>-0.54711721300876981</v>
      </c>
      <c r="O85" s="30">
        <f>CV19</f>
        <v>4.1002751657020138</v>
      </c>
      <c r="P85" s="13">
        <f>CW18</f>
        <v>-0.5463347598433852</v>
      </c>
      <c r="Q85" s="18">
        <f>CW19</f>
        <v>1.5418212263041864</v>
      </c>
      <c r="R85" s="13">
        <f>CX18</f>
        <v>-0.65189697953638359</v>
      </c>
      <c r="S85" s="18">
        <f>CX19</f>
        <v>1.9781491393059931</v>
      </c>
      <c r="T85" s="28">
        <f>CY18</f>
        <v>-0.57758261949100054</v>
      </c>
      <c r="U85" s="18">
        <f>CY19</f>
        <v>5.2255168583753954E-3</v>
      </c>
      <c r="W85" s="13">
        <f>CU20</f>
        <v>0.37082429674496575</v>
      </c>
      <c r="X85" s="18">
        <f>CU21</f>
        <v>0.64378810060726721</v>
      </c>
      <c r="Y85" s="28">
        <f>CV20</f>
        <v>0.35901501071186193</v>
      </c>
      <c r="Z85" s="30">
        <f>CV21</f>
        <v>0.34385375530484097</v>
      </c>
      <c r="AA85" s="13">
        <f>CW20</f>
        <v>3.2997367490906964</v>
      </c>
      <c r="AB85" s="18">
        <f>CW21</f>
        <v>-3.5961929630725136</v>
      </c>
      <c r="AC85" s="13">
        <f>CX20</f>
        <v>4.2029084343020484</v>
      </c>
      <c r="AD85" s="18">
        <f>CX21</f>
        <v>-3.8286496498942721</v>
      </c>
      <c r="AE85" s="28">
        <f>CY20</f>
        <v>4.041773489649116</v>
      </c>
      <c r="AF85" s="18">
        <f>CY21</f>
        <v>-6.5488961620110246E-3</v>
      </c>
    </row>
    <row r="86" spans="11:32">
      <c r="K86" s="7" t="s">
        <v>73</v>
      </c>
      <c r="L86" s="13">
        <f>DA18</f>
        <v>-0.80229484109944271</v>
      </c>
      <c r="M86" s="18">
        <f>DA19</f>
        <v>6.7529401029666136</v>
      </c>
      <c r="N86" s="28">
        <f>DB18</f>
        <v>-0.71529122240499077</v>
      </c>
      <c r="O86" s="30">
        <f>DB19</f>
        <v>6.0185395739997869</v>
      </c>
      <c r="P86" s="13">
        <f>DC18</f>
        <v>-0.84927383232666509</v>
      </c>
      <c r="Q86" s="18">
        <f>DC19</f>
        <v>4.3181061499848701</v>
      </c>
      <c r="R86" s="13">
        <f>DD18</f>
        <v>-0.91686900965219775</v>
      </c>
      <c r="S86" s="18">
        <f>DD19</f>
        <v>6.3254858205921849</v>
      </c>
      <c r="T86" s="28">
        <f>DE18</f>
        <v>-0.81383622330317029</v>
      </c>
      <c r="U86" s="18">
        <f>DE19</f>
        <v>6.8144265752543391E-3</v>
      </c>
      <c r="W86" s="13">
        <f>DA20</f>
        <v>-6.6009141783238912E-2</v>
      </c>
      <c r="X86" s="18">
        <f>DA21</f>
        <v>2.5849663679966022</v>
      </c>
      <c r="Y86" s="28">
        <f>DB20</f>
        <v>2.7933116626443821E-2</v>
      </c>
      <c r="Z86" s="30">
        <f>DB21</f>
        <v>1.9454744106897832</v>
      </c>
      <c r="AA86" s="13">
        <f>DC20</f>
        <v>3.4559970824013559</v>
      </c>
      <c r="AB86" s="18">
        <f>DC21</f>
        <v>-3.5411197448251901</v>
      </c>
      <c r="AC86" s="13">
        <f>DD20</f>
        <v>3.0091683330519805</v>
      </c>
      <c r="AD86" s="18">
        <f>DD21</f>
        <v>-3.1722048213270493</v>
      </c>
      <c r="AE86" s="28">
        <f>DE20</f>
        <v>1.703859311346418</v>
      </c>
      <c r="AF86" s="18">
        <f>DE21</f>
        <v>-3.1048233615708709E-3</v>
      </c>
    </row>
    <row r="87" spans="11:32">
      <c r="K87" s="7" t="s">
        <v>74</v>
      </c>
      <c r="L87" s="13">
        <f>DG18</f>
        <v>-0.63516143155435223</v>
      </c>
      <c r="M87" s="18">
        <f>DG19</f>
        <v>5.476160231602222</v>
      </c>
      <c r="N87" s="28">
        <f>DH18</f>
        <v>-0.52704053597623779</v>
      </c>
      <c r="O87" s="30">
        <f>DH19</f>
        <v>4.5481821447942661</v>
      </c>
      <c r="P87" s="13">
        <f>DI18</f>
        <v>-0.50957598020080919</v>
      </c>
      <c r="Q87" s="18">
        <f>DI19</f>
        <v>1.377449627071935</v>
      </c>
      <c r="R87" s="13">
        <f>DJ18</f>
        <v>-0.65673820042959108</v>
      </c>
      <c r="S87" s="18">
        <f>DJ19</f>
        <v>2.1482246233717057</v>
      </c>
      <c r="T87" s="28">
        <f>DK18</f>
        <v>-0.56557663197361774</v>
      </c>
      <c r="U87" s="18">
        <f>DK19</f>
        <v>3.9418365980376175E-3</v>
      </c>
      <c r="W87" s="13">
        <f>DG20</f>
        <v>-1.267181186411781E-3</v>
      </c>
      <c r="X87" s="18">
        <f>DG21</f>
        <v>0.59571929872470564</v>
      </c>
      <c r="Y87" s="28">
        <f>DH20</f>
        <v>-0.1580718322208482</v>
      </c>
      <c r="Z87" s="30">
        <f>DH21</f>
        <v>1.9503330324161183</v>
      </c>
      <c r="AA87" s="13">
        <f>DI20</f>
        <v>0.77974037319451117</v>
      </c>
      <c r="AB87" s="18">
        <f>DI21</f>
        <v>-1.8460965062993888</v>
      </c>
      <c r="AC87" s="13">
        <f>DJ20</f>
        <v>0.94192553449581928</v>
      </c>
      <c r="AD87" s="18">
        <f>DJ21</f>
        <v>-1.7710210235137844</v>
      </c>
      <c r="AE87" s="28">
        <f>DK20</f>
        <v>0.80385856562895319</v>
      </c>
      <c r="AF87" s="18">
        <f>DK21</f>
        <v>-2.2785586836029221E-3</v>
      </c>
    </row>
    <row r="88" spans="11:32">
      <c r="K88" s="7" t="s">
        <v>75</v>
      </c>
      <c r="L88" s="13">
        <f>DM18</f>
        <v>-0.89414592012268024</v>
      </c>
      <c r="M88" s="18">
        <f>DM19</f>
        <v>8.6240817862076931</v>
      </c>
      <c r="N88" s="28">
        <f>DN18</f>
        <v>-0.73486492801209935</v>
      </c>
      <c r="O88" s="30">
        <f>DN19</f>
        <v>6.597192083794936</v>
      </c>
      <c r="P88" s="13">
        <f>DO18</f>
        <v>-0.79346462497686432</v>
      </c>
      <c r="Q88" s="18">
        <f>DO19</f>
        <v>3.7880972528585928</v>
      </c>
      <c r="R88" s="13">
        <f>DP18</f>
        <v>-0.83279314245575553</v>
      </c>
      <c r="S88" s="18">
        <f>DP19</f>
        <v>4.8069991358763788</v>
      </c>
      <c r="T88" s="28">
        <f>DQ18</f>
        <v>-0.80500192151404804</v>
      </c>
      <c r="U88" s="18">
        <f>DQ19</f>
        <v>8.9118196571248403E-3</v>
      </c>
      <c r="W88" s="13">
        <f>DM20</f>
        <v>0.28930309863044523</v>
      </c>
      <c r="X88" s="18">
        <f>DM21</f>
        <v>1.7897271803658141</v>
      </c>
      <c r="Y88" s="28">
        <f>DN20</f>
        <v>0.61165573031442122</v>
      </c>
      <c r="Z88" s="30">
        <f>DN21</f>
        <v>1.2003850431436789</v>
      </c>
      <c r="AA88" s="13">
        <f>DO20</f>
        <v>2.7887172907346147</v>
      </c>
      <c r="AB88" s="18">
        <f>DO21</f>
        <v>-3.7550510981684413</v>
      </c>
      <c r="AC88" s="13">
        <f>DP20</f>
        <v>3.2211848198508291</v>
      </c>
      <c r="AD88" s="18">
        <f>DP21</f>
        <v>-3.7146221878489518</v>
      </c>
      <c r="AE88" s="28">
        <f>DQ20</f>
        <v>2.2666798308516483</v>
      </c>
      <c r="AF88" s="18">
        <f>DQ21</f>
        <v>-4.6257685112349482E-3</v>
      </c>
    </row>
    <row r="89" spans="11:32">
      <c r="K89" s="7" t="s">
        <v>79</v>
      </c>
      <c r="L89" s="13">
        <f>DS18</f>
        <v>-0.65646615324161806</v>
      </c>
      <c r="M89" s="18">
        <f>DS19</f>
        <v>3.7411475212565839</v>
      </c>
      <c r="N89" s="28">
        <f>DT18</f>
        <v>-0.54572273763802837</v>
      </c>
      <c r="O89" s="30">
        <f>DT19</f>
        <v>3.3354406857882104</v>
      </c>
      <c r="P89" s="13">
        <f>DU18</f>
        <v>-0.59714358416939262</v>
      </c>
      <c r="Q89" s="18">
        <f>DU19</f>
        <v>1.1111602861303373</v>
      </c>
      <c r="R89" s="13">
        <f>DV18</f>
        <v>-0.84711128280781112</v>
      </c>
      <c r="S89" s="18">
        <f>DV19</f>
        <v>2.0835390466383417</v>
      </c>
      <c r="T89" s="28">
        <f>DW18</f>
        <v>-0.58731461367260507</v>
      </c>
      <c r="U89" s="18">
        <f>DW19</f>
        <v>4.3688618025183252E-3</v>
      </c>
      <c r="W89" s="13">
        <f>DS20</f>
        <v>-0.27551469724665911</v>
      </c>
      <c r="X89" s="18">
        <f>DS21</f>
        <v>1.0599575723706618</v>
      </c>
      <c r="Y89" s="28">
        <f>DT20</f>
        <v>-0.3167532474956064</v>
      </c>
      <c r="Z89" s="30">
        <f>DT21</f>
        <v>1.7926868307229007</v>
      </c>
      <c r="AA89" s="13">
        <f>DU20</f>
        <v>0.72413003437185219</v>
      </c>
      <c r="AB89" s="18">
        <f>DU21</f>
        <v>-1.0694204753172831</v>
      </c>
      <c r="AC89" s="13">
        <f>DV20</f>
        <v>1.335337587860868</v>
      </c>
      <c r="AD89" s="18">
        <f>DV21</f>
        <v>-1.3823366154631962</v>
      </c>
      <c r="AE89" s="28">
        <f>DW20</f>
        <v>0.55676182911714034</v>
      </c>
      <c r="AF89" s="18">
        <f>DW21</f>
        <v>-2.4198170052543624E-3</v>
      </c>
    </row>
    <row r="90" spans="11:32">
      <c r="K90" s="7" t="s">
        <v>81</v>
      </c>
      <c r="L90" s="13">
        <f>DY18</f>
        <v>-0.17768592884435941</v>
      </c>
      <c r="M90" s="18">
        <f>DY19</f>
        <v>0.93231501004518913</v>
      </c>
      <c r="N90" s="28">
        <f>DZ18</f>
        <v>-0.14051359266220653</v>
      </c>
      <c r="O90" s="30">
        <f>DZ19</f>
        <v>0.84173196567162889</v>
      </c>
      <c r="P90" s="13">
        <f>EA18</f>
        <v>0.12857363081656592</v>
      </c>
      <c r="Q90" s="18">
        <f>EA19</f>
        <v>-0.462451881570423</v>
      </c>
      <c r="R90" s="13">
        <f>EB18</f>
        <v>-0.30232201117248514</v>
      </c>
      <c r="S90" s="18">
        <f>EB19</f>
        <v>0.66668057772910116</v>
      </c>
      <c r="T90" s="28">
        <f>EC18</f>
        <v>-0.25316325362637149</v>
      </c>
      <c r="U90" s="18">
        <f>EC19</f>
        <v>3.8937572747830972E-3</v>
      </c>
      <c r="W90" s="13">
        <f>DY20</f>
        <v>0.1808956765280143</v>
      </c>
      <c r="X90" s="18">
        <f>DY21</f>
        <v>-0.8110913155863041</v>
      </c>
      <c r="Y90" s="28">
        <f>DZ20</f>
        <v>-0.14696809116108667</v>
      </c>
      <c r="Z90" s="30">
        <f>DZ21</f>
        <v>0.56863482333369952</v>
      </c>
      <c r="AA90" s="13">
        <f>EA20</f>
        <v>0.52178800149978333</v>
      </c>
      <c r="AB90" s="18">
        <f>EA21</f>
        <v>-1.4976955428838179</v>
      </c>
      <c r="AC90" s="13">
        <f>EB20</f>
        <v>0.73243179026791383</v>
      </c>
      <c r="AD90" s="18">
        <f>EB21</f>
        <v>-1.6563442109344479</v>
      </c>
      <c r="AE90" s="28">
        <f>EC20</f>
        <v>0.22724213904320534</v>
      </c>
      <c r="AF90" s="18">
        <f>EC21</f>
        <v>-3.4562214261685581E-3</v>
      </c>
    </row>
    <row r="91" spans="11:32">
      <c r="K91" s="7" t="s">
        <v>83</v>
      </c>
      <c r="L91" s="13">
        <f>EE18</f>
        <v>-0.20405860178790403</v>
      </c>
      <c r="M91" s="18">
        <f>EE19</f>
        <v>1.2675208869031847</v>
      </c>
      <c r="N91" s="28">
        <f>EF18</f>
        <v>-7.3125348507576016E-2</v>
      </c>
      <c r="O91" s="30">
        <f>EF19</f>
        <v>0.50099260150763614</v>
      </c>
      <c r="P91" s="13">
        <f>EG18</f>
        <v>-9.3931607790395555E-2</v>
      </c>
      <c r="Q91" s="18">
        <f>EG19</f>
        <v>7.5274079392614907E-2</v>
      </c>
      <c r="R91" s="13">
        <f>EH18</f>
        <v>-0.54945234836817369</v>
      </c>
      <c r="S91" s="18">
        <f>EH19</f>
        <v>1.1149897353293692</v>
      </c>
      <c r="T91" s="28">
        <f>EI18</f>
        <v>-0.29288166919898651</v>
      </c>
      <c r="U91" s="18">
        <f>EI19</f>
        <v>2.0688923805255053E-3</v>
      </c>
      <c r="W91" s="13">
        <f>EE20</f>
        <v>0.34509688771711233</v>
      </c>
      <c r="X91" s="18">
        <f>EE21</f>
        <v>-1.2441098309916814</v>
      </c>
      <c r="Y91" s="28">
        <f>EF20</f>
        <v>0.14267498888484376</v>
      </c>
      <c r="Z91" s="30">
        <f>EF21</f>
        <v>-0.92689116152410611</v>
      </c>
      <c r="AA91" s="13">
        <f>EG20</f>
        <v>0.93536421567516026</v>
      </c>
      <c r="AB91" s="18">
        <f>EG21</f>
        <v>-2.3555218171313226</v>
      </c>
      <c r="AC91" s="13">
        <f>EH20</f>
        <v>0.55124228314966373</v>
      </c>
      <c r="AD91" s="18">
        <f>EH21</f>
        <v>-2.2386907936222218</v>
      </c>
      <c r="AE91" s="28">
        <f>EI20</f>
        <v>0.46094583514617349</v>
      </c>
      <c r="AF91" s="18">
        <f>EI21</f>
        <v>-3.8650574530565847E-3</v>
      </c>
    </row>
    <row r="92" spans="11:32">
      <c r="K92" s="7" t="s">
        <v>85</v>
      </c>
      <c r="L92" s="13">
        <f>EK18</f>
        <v>-0.47002551300458628</v>
      </c>
      <c r="M92" s="18">
        <f>EK19</f>
        <v>1.7737430475189093</v>
      </c>
      <c r="N92" s="28">
        <f>EL18</f>
        <v>-0.38770069313308131</v>
      </c>
      <c r="O92" s="30">
        <f>EL19</f>
        <v>1.3521911443765022</v>
      </c>
      <c r="P92" s="13">
        <f>EM18</f>
        <v>-0.68274099286392853</v>
      </c>
      <c r="Q92" s="18">
        <f>EM19</f>
        <v>0.96458537486465001</v>
      </c>
      <c r="R92" s="13">
        <f>EN18</f>
        <v>-0.83632170430664221</v>
      </c>
      <c r="S92" s="18">
        <f>EN19</f>
        <v>1.646556978407427</v>
      </c>
      <c r="T92" s="28">
        <f>EO18</f>
        <v>-0.77066247272869137</v>
      </c>
      <c r="U92" s="18">
        <f>EO19</f>
        <v>4.8482948399720845E-3</v>
      </c>
      <c r="W92" s="13">
        <f>EK20</f>
        <v>-0.48618991038760495</v>
      </c>
      <c r="X92" s="18">
        <f>EK21</f>
        <v>1.0040215105559709</v>
      </c>
      <c r="Y92" s="28">
        <f>EL20</f>
        <v>-0.76731163038130479</v>
      </c>
      <c r="Z92" s="30">
        <f>EL21</f>
        <v>3.2549612696970751</v>
      </c>
      <c r="AA92" s="13">
        <f>EM20</f>
        <v>0.84659283610375957</v>
      </c>
      <c r="AB92" s="18">
        <f>EM21</f>
        <v>-0.5742102714809536</v>
      </c>
      <c r="AC92" s="13">
        <f>EN20</f>
        <v>1.8386697281350757</v>
      </c>
      <c r="AD92" s="18">
        <f>EN21</f>
        <v>-0.8455614337490599</v>
      </c>
      <c r="AE92" s="28">
        <f>EO20</f>
        <v>0.62258525081839644</v>
      </c>
      <c r="AF92" s="18">
        <f>EO21</f>
        <v>-1.4920779038593303E-3</v>
      </c>
    </row>
    <row r="93" spans="11:32">
      <c r="K93" s="9" t="s">
        <v>87</v>
      </c>
      <c r="L93" s="14">
        <f>EQ18</f>
        <v>-0.31132854810536059</v>
      </c>
      <c r="M93" s="19">
        <f>EQ19</f>
        <v>1.387260366553424</v>
      </c>
      <c r="N93" s="29">
        <f>ER18</f>
        <v>1.6653422608917889E-2</v>
      </c>
      <c r="O93" s="32">
        <f>ER19</f>
        <v>-0.11517939704838968</v>
      </c>
      <c r="P93" s="14">
        <f>ES18</f>
        <v>-0.54950949208857991</v>
      </c>
      <c r="Q93" s="19">
        <f>ES19</f>
        <v>1.4460350030943621</v>
      </c>
      <c r="R93" s="14">
        <f>ET18</f>
        <v>-0.71828596653829868</v>
      </c>
      <c r="S93" s="19">
        <f>ET19</f>
        <v>2.1463380896964424</v>
      </c>
      <c r="T93" s="29">
        <f>EU18</f>
        <v>-0.35916414295483279</v>
      </c>
      <c r="U93" s="19">
        <f>EU19</f>
        <v>6.1130656644942357E-3</v>
      </c>
      <c r="W93" s="14">
        <f>EQ20</f>
        <v>0.2445824495094826</v>
      </c>
      <c r="X93" s="19">
        <f>EQ21</f>
        <v>0.19531654404741594</v>
      </c>
      <c r="Y93" s="29">
        <f>ER20</f>
        <v>-3.5690254342284788E-2</v>
      </c>
      <c r="Z93" s="32">
        <f>ER21</f>
        <v>1.5859672270648937</v>
      </c>
      <c r="AA93" s="14">
        <f>ES20</f>
        <v>-4.4732170111150826E-2</v>
      </c>
      <c r="AB93" s="19">
        <f>ES21</f>
        <v>0.54582239125875487</v>
      </c>
      <c r="AC93" s="14">
        <f>ET20</f>
        <v>0.45659261008378182</v>
      </c>
      <c r="AD93" s="19">
        <f>ET21</f>
        <v>-0.41979611243289283</v>
      </c>
      <c r="AE93" s="29">
        <f>EU20</f>
        <v>0.99115392717951956</v>
      </c>
      <c r="AF93" s="19">
        <f>EU21</f>
        <v>-3.6090596908699684E-3</v>
      </c>
    </row>
    <row r="94" spans="11:32">
      <c r="K94" s="33" t="s">
        <v>54</v>
      </c>
      <c r="L94" s="14">
        <f>AVERAGE(L69:L93)</f>
        <v>-0.70056749216222602</v>
      </c>
      <c r="M94" s="16">
        <f>AVERAGE(M69:M93)</f>
        <v>5.6303001561755899</v>
      </c>
      <c r="N94" s="14">
        <f t="shared" ref="N94:U94" si="0">AVERAGE(N69:N93)</f>
        <v>-0.57584961156696945</v>
      </c>
      <c r="O94" s="16">
        <f t="shared" si="0"/>
        <v>4.5408119036068255</v>
      </c>
      <c r="P94" s="14">
        <f t="shared" si="0"/>
        <v>-0.5936378647060786</v>
      </c>
      <c r="Q94" s="16">
        <f t="shared" si="0"/>
        <v>2.1182806106306371</v>
      </c>
      <c r="R94" s="14">
        <f t="shared" si="0"/>
        <v>-0.7280521683456479</v>
      </c>
      <c r="S94" s="16">
        <f t="shared" si="0"/>
        <v>3.143211263344599</v>
      </c>
      <c r="T94" s="14">
        <f t="shared" si="0"/>
        <v>-0.64180000807335313</v>
      </c>
      <c r="U94" s="16">
        <f t="shared" si="0"/>
        <v>6.2386243811879492E-3</v>
      </c>
      <c r="W94" s="14">
        <f>AVERAGE(W69:W93)</f>
        <v>0.24504928727707409</v>
      </c>
      <c r="X94" s="16">
        <f>AVERAGE(X69:X93)</f>
        <v>0.38502934000873451</v>
      </c>
      <c r="Y94" s="14">
        <f t="shared" ref="Y94" si="1">AVERAGE(Y69:Y93)</f>
        <v>0.34347976229775412</v>
      </c>
      <c r="Z94" s="16">
        <f t="shared" ref="Z94" si="2">AVERAGE(Z69:Z93)</f>
        <v>0.38532584411906301</v>
      </c>
      <c r="AA94" s="14">
        <f t="shared" ref="AA94" si="3">AVERAGE(AA69:AA93)</f>
        <v>1.9838015358374093</v>
      </c>
      <c r="AB94" s="16">
        <f t="shared" ref="AB94" si="4">AVERAGE(AB69:AB93)</f>
        <v>-2.6063799020997376</v>
      </c>
      <c r="AC94" s="14">
        <f t="shared" ref="AC94" si="5">AVERAGE(AC69:AC93)</f>
        <v>2.2937134283631044</v>
      </c>
      <c r="AD94" s="16">
        <f t="shared" ref="AD94" si="6">AVERAGE(AD69:AD93)</f>
        <v>-2.5442382855045635</v>
      </c>
      <c r="AE94" s="14">
        <f t="shared" ref="AE94" si="7">AVERAGE(AE69:AE93)</f>
        <v>1.5756870188406398</v>
      </c>
      <c r="AF94" s="16">
        <f t="shared" ref="AF94" si="8">AVERAGE(AF69:AF93)</f>
        <v>-3.5426535553435652E-3</v>
      </c>
    </row>
    <row r="132" spans="10:11">
      <c r="K132" s="26"/>
    </row>
    <row r="133" spans="10:11">
      <c r="J133" s="26"/>
    </row>
    <row r="134" spans="10:11">
      <c r="J134" s="26"/>
    </row>
  </sheetData>
  <sortState xmlns:xlrd2="http://schemas.microsoft.com/office/spreadsheetml/2017/richdata2" ref="B15:N47">
    <sortCondition ref="L15:L47"/>
  </sortState>
  <mergeCells count="47">
    <mergeCell ref="A3:A6"/>
    <mergeCell ref="A7:A10"/>
    <mergeCell ref="A36:A39"/>
    <mergeCell ref="L66:U66"/>
    <mergeCell ref="AE67:AF67"/>
    <mergeCell ref="W66:AF66"/>
    <mergeCell ref="AC67:AD67"/>
    <mergeCell ref="T67:U67"/>
    <mergeCell ref="L67:M67"/>
    <mergeCell ref="N67:O67"/>
    <mergeCell ref="W67:X67"/>
    <mergeCell ref="Y67:Z67"/>
    <mergeCell ref="P67:Q67"/>
    <mergeCell ref="R67:S67"/>
    <mergeCell ref="AA67:AB67"/>
    <mergeCell ref="K62:AF62"/>
    <mergeCell ref="A11:A14"/>
    <mergeCell ref="CB1:CG1"/>
    <mergeCell ref="CH1:CM1"/>
    <mergeCell ref="BJ1:BO1"/>
    <mergeCell ref="BP1:BU1"/>
    <mergeCell ref="BV1:CA1"/>
    <mergeCell ref="B1:G1"/>
    <mergeCell ref="H1:M1"/>
    <mergeCell ref="N1:S1"/>
    <mergeCell ref="T1:Y1"/>
    <mergeCell ref="Z1:AE1"/>
    <mergeCell ref="AF1:AK1"/>
    <mergeCell ref="AL1:AQ1"/>
    <mergeCell ref="AR1:AW1"/>
    <mergeCell ref="AX1:BC1"/>
    <mergeCell ref="B30:G30"/>
    <mergeCell ref="A32:A35"/>
    <mergeCell ref="A40:A43"/>
    <mergeCell ref="A18:A19"/>
    <mergeCell ref="A20:A21"/>
    <mergeCell ref="ED1:EI1"/>
    <mergeCell ref="EJ1:EO1"/>
    <mergeCell ref="EP1:EU1"/>
    <mergeCell ref="CN1:CS1"/>
    <mergeCell ref="CT1:CY1"/>
    <mergeCell ref="CZ1:DE1"/>
    <mergeCell ref="DF1:DK1"/>
    <mergeCell ref="DL1:DQ1"/>
    <mergeCell ref="DR1:DW1"/>
    <mergeCell ref="DX1:EC1"/>
    <mergeCell ref="BD1:BI1"/>
  </mergeCells>
  <phoneticPr fontId="1" type="noConversion"/>
  <conditionalFormatting sqref="L69:L94 N69:N94 P69:P94 R69:R94 T69:T94 W69:W94 Y69:Y94 AA69:AA94 AC69:AC94 AE69:AE94">
    <cfRule type="cellIs" dxfId="11" priority="117" operator="lessThan">
      <formula>0</formula>
    </cfRule>
    <cfRule type="cellIs" dxfId="10" priority="118" operator="greaterThan">
      <formula>0</formula>
    </cfRule>
  </conditionalFormatting>
  <conditionalFormatting sqref="M69:M94 O69:O94 Q69:Q94 S69:S94 U69:U94 X69:X94 Z69:Z94 AB69:AB94 AD69:AD94 AF69:AF94">
    <cfRule type="cellIs" dxfId="9" priority="115" operator="lessThan">
      <formula>0</formula>
    </cfRule>
    <cfRule type="cellIs" dxfId="8" priority="116" operator="greater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7C32B-D653-4FF9-A9B5-983A93AD094E}">
          <x14:formula1>
            <xm:f>TestData!$D$3:$D$27</xm:f>
          </x14:formula1>
          <xm:sqref>B30:G30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25</vt:i4>
      </vt:variant>
    </vt:vector>
  </HeadingPairs>
  <TitlesOfParts>
    <vt:vector size="28" baseType="lpstr">
      <vt:lpstr>TestData</vt:lpstr>
      <vt:lpstr>Configs</vt:lpstr>
      <vt:lpstr>FinalData</vt:lpstr>
      <vt:lpstr>FinalData!Annibal</vt:lpstr>
      <vt:lpstr>FinalData!ArmChair</vt:lpstr>
      <vt:lpstr>FinalData!BoatJosefa</vt:lpstr>
      <vt:lpstr>FinalData!BodyScanBlueShirt</vt:lpstr>
      <vt:lpstr>FinalData!BodyScanOlia</vt:lpstr>
      <vt:lpstr>FinalData!Bouquet</vt:lpstr>
      <vt:lpstr>FinalData!Cabbage</vt:lpstr>
      <vt:lpstr>FinalData!CapitolineWolf</vt:lpstr>
      <vt:lpstr>FinalData!CatStatue</vt:lpstr>
      <vt:lpstr>FinalData!CowStatue</vt:lpstr>
      <vt:lpstr>FinalData!DinoSkull</vt:lpstr>
      <vt:lpstr>FinalData!goat_skull</vt:lpstr>
      <vt:lpstr>FinalData!Iguana</vt:lpstr>
      <vt:lpstr>FinalData!kinfubooks</vt:lpstr>
      <vt:lpstr>FinalData!kinfudesk</vt:lpstr>
      <vt:lpstr>FinalData!KingCrab</vt:lpstr>
      <vt:lpstr>FinalData!Lakoon</vt:lpstr>
      <vt:lpstr>FinalData!LivingRoom</vt:lpstr>
      <vt:lpstr>FinalData!PaintedEgg</vt:lpstr>
      <vt:lpstr>FinalData!Pliers</vt:lpstr>
      <vt:lpstr>FinalData!RuaDeCoimbra</vt:lpstr>
      <vt:lpstr>FinalData!SteamEngine</vt:lpstr>
      <vt:lpstr>FinalData!StMichael</vt:lpstr>
      <vt:lpstr>FinalData!Van</vt:lpstr>
      <vt:lpstr>FinalData!WoodenChest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Guarda</dc:creator>
  <cp:lastModifiedBy>Andre Guarda</cp:lastModifiedBy>
  <dcterms:created xsi:type="dcterms:W3CDTF">2022-01-31T13:08:22Z</dcterms:created>
  <dcterms:modified xsi:type="dcterms:W3CDTF">2022-09-29T15:26:29Z</dcterms:modified>
</cp:coreProperties>
</file>